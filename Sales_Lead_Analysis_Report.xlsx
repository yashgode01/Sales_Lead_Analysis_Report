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7BB74D6B-A4E6-4A51-8338-AC4D426DE2BF}" xr6:coauthVersionLast="47" xr6:coauthVersionMax="47" xr10:uidLastSave="{00000000-0000-0000-0000-000000000000}"/>
  <bookViews>
    <workbookView xWindow="-108" yWindow="-108" windowWidth="23256" windowHeight="12576" activeTab="3" xr2:uid="{AEC30E21-65B2-46FB-BB63-3C38D61753D8}"/>
  </bookViews>
  <sheets>
    <sheet name="BDA_Lead_Report_500_Realistic_2" sheetId="1" r:id="rId1"/>
    <sheet name="KPI_Sheet" sheetId="2" r:id="rId2"/>
    <sheet name="Pivot" sheetId="4" r:id="rId3"/>
    <sheet name="Dashboard" sheetId="5" r:id="rId4"/>
  </sheets>
  <definedNames>
    <definedName name="Slicer_Lead_Source">#N/A</definedName>
    <definedName name="Slicer_Product_Interest">#N/A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2" l="1"/>
  <c r="L5" i="2"/>
  <c r="H25" i="2"/>
  <c r="H12"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L10" i="2" l="1"/>
</calcChain>
</file>

<file path=xl/sharedStrings.xml><?xml version="1.0" encoding="utf-8"?>
<sst xmlns="http://schemas.openxmlformats.org/spreadsheetml/2006/main" count="4109" uniqueCount="1307">
  <si>
    <t>Lead_ID</t>
  </si>
  <si>
    <t>Customer_Name</t>
  </si>
  <si>
    <t>Phone</t>
  </si>
  <si>
    <t>Email</t>
  </si>
  <si>
    <t>City</t>
  </si>
  <si>
    <t>Lead_Source</t>
  </si>
  <si>
    <t>Product_Interest</t>
  </si>
  <si>
    <t>Lead_Date</t>
  </si>
  <si>
    <t>Status</t>
  </si>
  <si>
    <t>Potential_Value</t>
  </si>
  <si>
    <t>Assigned_To</t>
  </si>
  <si>
    <t>LD20260001</t>
  </si>
  <si>
    <t>Pooja Patel</t>
  </si>
  <si>
    <t>pooja.patel405@gmail.com</t>
  </si>
  <si>
    <t>Pune</t>
  </si>
  <si>
    <t>Instagram</t>
  </si>
  <si>
    <t>Online MBA</t>
  </si>
  <si>
    <t>New</t>
  </si>
  <si>
    <t>Vikas</t>
  </si>
  <si>
    <t>LD20260002</t>
  </si>
  <si>
    <t>Karan Sharma</t>
  </si>
  <si>
    <t>karan.sharma89@gmail.com</t>
  </si>
  <si>
    <t>Delhi</t>
  </si>
  <si>
    <t>Website</t>
  </si>
  <si>
    <t>Follow-Up</t>
  </si>
  <si>
    <t>LD20260003</t>
  </si>
  <si>
    <t>Arjun Gupta</t>
  </si>
  <si>
    <t>arjun.gupta646@gmail.com</t>
  </si>
  <si>
    <t>Jaipur</t>
  </si>
  <si>
    <t>LinkedIn</t>
  </si>
  <si>
    <t>CRM Software</t>
  </si>
  <si>
    <t>Contacted</t>
  </si>
  <si>
    <t>LD20260004</t>
  </si>
  <si>
    <t>Rohan Joshi</t>
  </si>
  <si>
    <t>rohan.joshi430@gmail.com</t>
  </si>
  <si>
    <t>Lost</t>
  </si>
  <si>
    <t>Rahul</t>
  </si>
  <si>
    <t>LD20260005</t>
  </si>
  <si>
    <t>Yash Yadav</t>
  </si>
  <si>
    <t>yash.yadav655@gmail.com</t>
  </si>
  <si>
    <t>Ahmedabad</t>
  </si>
  <si>
    <t>Google Ads</t>
  </si>
  <si>
    <t>Converted</t>
  </si>
  <si>
    <t>LD20260006</t>
  </si>
  <si>
    <t>Karan Kulkarni</t>
  </si>
  <si>
    <t>karan.kulkarni697@gmail.com</t>
  </si>
  <si>
    <t>Indore</t>
  </si>
  <si>
    <t>Referral</t>
  </si>
  <si>
    <t>ERP Solution</t>
  </si>
  <si>
    <t>Qualified</t>
  </si>
  <si>
    <t>Priya</t>
  </si>
  <si>
    <t>LD20260007</t>
  </si>
  <si>
    <t>Rahul Jain</t>
  </si>
  <si>
    <t>rahul.jain799@gmail.com</t>
  </si>
  <si>
    <t>Bangalore</t>
  </si>
  <si>
    <t>Sneha</t>
  </si>
  <si>
    <t>LD20260008</t>
  </si>
  <si>
    <t>Sneha Yadav</t>
  </si>
  <si>
    <t>sneha.yadav75@gmail.com</t>
  </si>
  <si>
    <t>Mumbai</t>
  </si>
  <si>
    <t>Justdial</t>
  </si>
  <si>
    <t>Digital Marketing Course</t>
  </si>
  <si>
    <t>LD20260009</t>
  </si>
  <si>
    <t>Vivaan Mishra</t>
  </si>
  <si>
    <t>vivaan.mishra80@gmail.com</t>
  </si>
  <si>
    <t>Hyderabad</t>
  </si>
  <si>
    <t>LD20260010</t>
  </si>
  <si>
    <t>Sakshi Verma</t>
  </si>
  <si>
    <t>sakshi.verma861@gmail.com</t>
  </si>
  <si>
    <t>LD20260011</t>
  </si>
  <si>
    <t>Sneha Jain</t>
  </si>
  <si>
    <t>sneha.jain396@gmail.com</t>
  </si>
  <si>
    <t>Facebook Ads</t>
  </si>
  <si>
    <t>LD20260012</t>
  </si>
  <si>
    <t>Karan Agrawal</t>
  </si>
  <si>
    <t>karan.agrawal295@gmail.com</t>
  </si>
  <si>
    <t>Chennai</t>
  </si>
  <si>
    <t>LD20260013</t>
  </si>
  <si>
    <t>Ishita Singh</t>
  </si>
  <si>
    <t>ishita.singh285@gmail.com</t>
  </si>
  <si>
    <t>LD20260014</t>
  </si>
  <si>
    <t>Neha Patel</t>
  </si>
  <si>
    <t>neha.patel85@gmail.com</t>
  </si>
  <si>
    <t>Amit</t>
  </si>
  <si>
    <t>LD20260015</t>
  </si>
  <si>
    <t>Sneha Sharma</t>
  </si>
  <si>
    <t>sneha.sharma150@gmail.com</t>
  </si>
  <si>
    <t>LD20260016</t>
  </si>
  <si>
    <t>Akash Mishra</t>
  </si>
  <si>
    <t>akash.mishra693@gmail.com</t>
  </si>
  <si>
    <t>LD20260017</t>
  </si>
  <si>
    <t>Vikas Mishra</t>
  </si>
  <si>
    <t>vikas.mishra411@gmail.com</t>
  </si>
  <si>
    <t>Advanced Excel Course</t>
  </si>
  <si>
    <t>LD20260018</t>
  </si>
  <si>
    <t>Vivaan Verma</t>
  </si>
  <si>
    <t>vivaan.verma1@gmail.com</t>
  </si>
  <si>
    <t>LD20260019</t>
  </si>
  <si>
    <t>Akash Deshmukh</t>
  </si>
  <si>
    <t>akash.deshmukh153@gmail.com</t>
  </si>
  <si>
    <t>LD20260020</t>
  </si>
  <si>
    <t>Sakshi Kulkarni</t>
  </si>
  <si>
    <t>sakshi.kulkarni496@gmail.com</t>
  </si>
  <si>
    <t>LD20260021</t>
  </si>
  <si>
    <t>Rahul Singh</t>
  </si>
  <si>
    <t>rahul.singh24@gmail.com</t>
  </si>
  <si>
    <t>LD20260022</t>
  </si>
  <si>
    <t>Sneha Mishra</t>
  </si>
  <si>
    <t>sneha.mishra885@gmail.com</t>
  </si>
  <si>
    <t>LD20260023</t>
  </si>
  <si>
    <t>Aman Mehta</t>
  </si>
  <si>
    <t>aman.mehta652@gmail.com</t>
  </si>
  <si>
    <t>LD20260024</t>
  </si>
  <si>
    <t>Karan Singh</t>
  </si>
  <si>
    <t>karan.singh505@gmail.com</t>
  </si>
  <si>
    <t>LD20260025</t>
  </si>
  <si>
    <t>Ananya Kulkarni</t>
  </si>
  <si>
    <t>ananya.kulkarni828@gmail.com</t>
  </si>
  <si>
    <t>LD20260026</t>
  </si>
  <si>
    <t>karan.kulkarni640@gmail.com</t>
  </si>
  <si>
    <t>LD20260027</t>
  </si>
  <si>
    <t>karan.kulkarni911@gmail.com</t>
  </si>
  <si>
    <t>LD20260028</t>
  </si>
  <si>
    <t>Rahul Patel</t>
  </si>
  <si>
    <t>rahul.patel131@gmail.com</t>
  </si>
  <si>
    <t>LD20260029</t>
  </si>
  <si>
    <t>vikas.mishra960@gmail.com</t>
  </si>
  <si>
    <t>LD20260030</t>
  </si>
  <si>
    <t>Aman Jain</t>
  </si>
  <si>
    <t>aman.jain957@gmail.com</t>
  </si>
  <si>
    <t>LD20260031</t>
  </si>
  <si>
    <t>Neha Agrawal</t>
  </si>
  <si>
    <t>neha.agrawal601@gmail.com</t>
  </si>
  <si>
    <t>LD20260032</t>
  </si>
  <si>
    <t>Sakshi Mishra</t>
  </si>
  <si>
    <t>sakshi.mishra598@gmail.com</t>
  </si>
  <si>
    <t>LD20260033</t>
  </si>
  <si>
    <t>Sakshi Agrawal</t>
  </si>
  <si>
    <t>sakshi.agrawal188@gmail.com</t>
  </si>
  <si>
    <t>LD20260034</t>
  </si>
  <si>
    <t>Nikhil Sharma</t>
  </si>
  <si>
    <t>nikhil.sharma334@gmail.com</t>
  </si>
  <si>
    <t>LD20260035</t>
  </si>
  <si>
    <t>Karan Joshi</t>
  </si>
  <si>
    <t>karan.joshi44@gmail.com</t>
  </si>
  <si>
    <t>LD20260036</t>
  </si>
  <si>
    <t>Aman Yadav</t>
  </si>
  <si>
    <t>aman.yadav525@gmail.com</t>
  </si>
  <si>
    <t>LD20260037</t>
  </si>
  <si>
    <t>Priya Borkar</t>
  </si>
  <si>
    <t>priya.borkar573@gmail.com</t>
  </si>
  <si>
    <t>LD20260038</t>
  </si>
  <si>
    <t>Neha Deshmukh</t>
  </si>
  <si>
    <t>neha.deshmukh75@gmail.com</t>
  </si>
  <si>
    <t>LD20260039</t>
  </si>
  <si>
    <t>rohan.joshi905@gmail.com</t>
  </si>
  <si>
    <t>LD20260040</t>
  </si>
  <si>
    <t>rahul.jain442@gmail.com</t>
  </si>
  <si>
    <t>LD20260041</t>
  </si>
  <si>
    <t>Aarav Mehta</t>
  </si>
  <si>
    <t>aarav.mehta568@gmail.com</t>
  </si>
  <si>
    <t>LD20260042</t>
  </si>
  <si>
    <t>Aditya Verma</t>
  </si>
  <si>
    <t>aditya.verma941@gmail.com</t>
  </si>
  <si>
    <t>LD20260043</t>
  </si>
  <si>
    <t>Aditi Patil</t>
  </si>
  <si>
    <t>aditi.patil934@gmail.com</t>
  </si>
  <si>
    <t>LD20260044</t>
  </si>
  <si>
    <t>Aditya Joshi</t>
  </si>
  <si>
    <t>aditya.joshi59@gmail.com</t>
  </si>
  <si>
    <t>LD20260045</t>
  </si>
  <si>
    <t>Neha Verma</t>
  </si>
  <si>
    <t>neha.verma271@gmail.com</t>
  </si>
  <si>
    <t>LD20260046</t>
  </si>
  <si>
    <t>Vivaan Singh</t>
  </si>
  <si>
    <t>vivaan.singh727@gmail.com</t>
  </si>
  <si>
    <t>LD20260047</t>
  </si>
  <si>
    <t>Aman Agrawal</t>
  </si>
  <si>
    <t>aman.agrawal211@gmail.com</t>
  </si>
  <si>
    <t>LD20260048</t>
  </si>
  <si>
    <t>Aarav Sharma</t>
  </si>
  <si>
    <t>aarav.sharma751@gmail.com</t>
  </si>
  <si>
    <t>LD20260049</t>
  </si>
  <si>
    <t>Vikas Singh</t>
  </si>
  <si>
    <t>vikas.singh855@gmail.com</t>
  </si>
  <si>
    <t>LD20260050</t>
  </si>
  <si>
    <t>Ishita Mehta</t>
  </si>
  <si>
    <t>ishita.mehta56@gmail.com</t>
  </si>
  <si>
    <t>LD20260051</t>
  </si>
  <si>
    <t>Aman Mishra</t>
  </si>
  <si>
    <t>aman.mishra995@gmail.com</t>
  </si>
  <si>
    <t>LD20260052</t>
  </si>
  <si>
    <t>Sakshi Sharma</t>
  </si>
  <si>
    <t>sakshi.sharma270@gmail.com</t>
  </si>
  <si>
    <t>LD20260053</t>
  </si>
  <si>
    <t>Rahul Sharma</t>
  </si>
  <si>
    <t>rahul.sharma344@gmail.com</t>
  </si>
  <si>
    <t>LD20260054</t>
  </si>
  <si>
    <t>aditya.joshi837@gmail.com</t>
  </si>
  <si>
    <t>LD20260055</t>
  </si>
  <si>
    <t>neha.verma600@gmail.com</t>
  </si>
  <si>
    <t>LD20260056</t>
  </si>
  <si>
    <t>sneha.jain634@gmail.com</t>
  </si>
  <si>
    <t>LD20260057</t>
  </si>
  <si>
    <t>aman.yadav855@gmail.com</t>
  </si>
  <si>
    <t>LD20260058</t>
  </si>
  <si>
    <t>Arjun Deshmukh</t>
  </si>
  <si>
    <t>arjun.deshmukh856@gmail.com</t>
  </si>
  <si>
    <t>Nagpur</t>
  </si>
  <si>
    <t>LD20260059</t>
  </si>
  <si>
    <t>Priya Sharma</t>
  </si>
  <si>
    <t>priya.sharma468@gmail.com</t>
  </si>
  <si>
    <t>LD20260060</t>
  </si>
  <si>
    <t>Priya Agrawal</t>
  </si>
  <si>
    <t>priya.agrawal77@gmail.com</t>
  </si>
  <si>
    <t>LD20260061</t>
  </si>
  <si>
    <t>Aditya Kulkarni</t>
  </si>
  <si>
    <t>aditya.kulkarni933@gmail.com</t>
  </si>
  <si>
    <t>LD20260062</t>
  </si>
  <si>
    <t>sneha.yadav582@gmail.com</t>
  </si>
  <si>
    <t>LD20260063</t>
  </si>
  <si>
    <t>Vikas Joshi</t>
  </si>
  <si>
    <t>vikas.joshi726@gmail.com</t>
  </si>
  <si>
    <t>LD20260064</t>
  </si>
  <si>
    <t>Aditya Borkar</t>
  </si>
  <si>
    <t>aditya.borkar485@gmail.com</t>
  </si>
  <si>
    <t>LD20260065</t>
  </si>
  <si>
    <t>Karan Borkar</t>
  </si>
  <si>
    <t>karan.borkar969@gmail.com</t>
  </si>
  <si>
    <t>LD20260066</t>
  </si>
  <si>
    <t>Akash Patil</t>
  </si>
  <si>
    <t>akash.patil647@gmail.com</t>
  </si>
  <si>
    <t>LD20260067</t>
  </si>
  <si>
    <t>rahul.sharma973@gmail.com</t>
  </si>
  <si>
    <t>LD20260068</t>
  </si>
  <si>
    <t>Pooja Verma</t>
  </si>
  <si>
    <t>pooja.verma861@gmail.com</t>
  </si>
  <si>
    <t>LD20260069</t>
  </si>
  <si>
    <t>Sneha Joshi</t>
  </si>
  <si>
    <t>sneha.joshi382@gmail.com</t>
  </si>
  <si>
    <t>LD20260070</t>
  </si>
  <si>
    <t>Vivaan Joshi</t>
  </si>
  <si>
    <t>vivaan.joshi105@gmail.com</t>
  </si>
  <si>
    <t>LD20260071</t>
  </si>
  <si>
    <t>karan.agrawal383@gmail.com</t>
  </si>
  <si>
    <t>LD20260072</t>
  </si>
  <si>
    <t>Vivaan Borkar</t>
  </si>
  <si>
    <t>vivaan.borkar750@gmail.com</t>
  </si>
  <si>
    <t>LD20260073</t>
  </si>
  <si>
    <t>Rohan Patel</t>
  </si>
  <si>
    <t>rohan.patel484@gmail.com</t>
  </si>
  <si>
    <t>LD20260074</t>
  </si>
  <si>
    <t>Sneha Kulkarni</t>
  </si>
  <si>
    <t>sneha.kulkarni571@gmail.com</t>
  </si>
  <si>
    <t>LD20260075</t>
  </si>
  <si>
    <t>Nikhil Gupta</t>
  </si>
  <si>
    <t>nikhil.gupta464@gmail.com</t>
  </si>
  <si>
    <t>LD20260076</t>
  </si>
  <si>
    <t>Pooja Singh</t>
  </si>
  <si>
    <t>pooja.singh94@gmail.com</t>
  </si>
  <si>
    <t>LD20260077</t>
  </si>
  <si>
    <t>Aditi Deshmukh</t>
  </si>
  <si>
    <t>aditi.deshmukh424@gmail.com</t>
  </si>
  <si>
    <t>LD20260078</t>
  </si>
  <si>
    <t>Ananya Patel</t>
  </si>
  <si>
    <t>ananya.patel704@gmail.com</t>
  </si>
  <si>
    <t>LD20260079</t>
  </si>
  <si>
    <t>Sakshi Deshmukh</t>
  </si>
  <si>
    <t>sakshi.deshmukh977@gmail.com</t>
  </si>
  <si>
    <t>LD20260080</t>
  </si>
  <si>
    <t>Aditya Deshmukh</t>
  </si>
  <si>
    <t>aditya.deshmukh953@gmail.com</t>
  </si>
  <si>
    <t>LD20260081</t>
  </si>
  <si>
    <t>aman.mishra112@gmail.com</t>
  </si>
  <si>
    <t>LD20260082</t>
  </si>
  <si>
    <t>Sneha Patel</t>
  </si>
  <si>
    <t>sneha.patel642@gmail.com</t>
  </si>
  <si>
    <t>LD20260083</t>
  </si>
  <si>
    <t>aman.yadav197@gmail.com</t>
  </si>
  <si>
    <t>LD20260084</t>
  </si>
  <si>
    <t>Priya Mehta</t>
  </si>
  <si>
    <t>priya.mehta661@gmail.com</t>
  </si>
  <si>
    <t>LD20260085</t>
  </si>
  <si>
    <t>Vivaan Sharma</t>
  </si>
  <si>
    <t>vivaan.sharma199@gmail.com</t>
  </si>
  <si>
    <t>LD20260086</t>
  </si>
  <si>
    <t>Neha Kulkarni</t>
  </si>
  <si>
    <t>neha.kulkarni35@gmail.com</t>
  </si>
  <si>
    <t>LD20260087</t>
  </si>
  <si>
    <t>Aditya Gupta</t>
  </si>
  <si>
    <t>aditya.gupta508@gmail.com</t>
  </si>
  <si>
    <t>LD20260088</t>
  </si>
  <si>
    <t>Arjun Yadav</t>
  </si>
  <si>
    <t>arjun.yadav508@gmail.com</t>
  </si>
  <si>
    <t>LD20260089</t>
  </si>
  <si>
    <t>Vivaan Gupta</t>
  </si>
  <si>
    <t>vivaan.gupta25@gmail.com</t>
  </si>
  <si>
    <t>LD20260090</t>
  </si>
  <si>
    <t>Pooja Jain</t>
  </si>
  <si>
    <t>pooja.jain116@gmail.com</t>
  </si>
  <si>
    <t>LD20260091</t>
  </si>
  <si>
    <t>sneha.mishra743@gmail.com</t>
  </si>
  <si>
    <t>LD20260092</t>
  </si>
  <si>
    <t>Aditya Mehta</t>
  </si>
  <si>
    <t>aditya.mehta431@gmail.com</t>
  </si>
  <si>
    <t>LD20260093</t>
  </si>
  <si>
    <t>Vikas Gupta</t>
  </si>
  <si>
    <t>vikas.gupta382@gmail.com</t>
  </si>
  <si>
    <t>LD20260094</t>
  </si>
  <si>
    <t>neha.agrawal641@gmail.com</t>
  </si>
  <si>
    <t>LD20260095</t>
  </si>
  <si>
    <t>aditya.borkar621@gmail.com</t>
  </si>
  <si>
    <t>LD20260096</t>
  </si>
  <si>
    <t>Priya Joshi</t>
  </si>
  <si>
    <t>priya.joshi4@gmail.com</t>
  </si>
  <si>
    <t>LD20260097</t>
  </si>
  <si>
    <t>Ishita Agrawal</t>
  </si>
  <si>
    <t>ishita.agrawal258@gmail.com</t>
  </si>
  <si>
    <t>LD20260098</t>
  </si>
  <si>
    <t>Akash Gupta</t>
  </si>
  <si>
    <t>akash.gupta336@gmail.com</t>
  </si>
  <si>
    <t>LD20260099</t>
  </si>
  <si>
    <t>neha.deshmukh67@gmail.com</t>
  </si>
  <si>
    <t>LD20260100</t>
  </si>
  <si>
    <t>aditya.joshi640@gmail.com</t>
  </si>
  <si>
    <t>LD20260101</t>
  </si>
  <si>
    <t>Aditi Kulkarni</t>
  </si>
  <si>
    <t>aditi.kulkarni636@gmail.com</t>
  </si>
  <si>
    <t>LD20260102</t>
  </si>
  <si>
    <t>priya.mehta261@gmail.com</t>
  </si>
  <si>
    <t>LD20260103</t>
  </si>
  <si>
    <t>Yash Gupta</t>
  </si>
  <si>
    <t>yash.gupta335@gmail.com</t>
  </si>
  <si>
    <t>LD20260104</t>
  </si>
  <si>
    <t>sakshi.sharma105@gmail.com</t>
  </si>
  <si>
    <t>LD20260105</t>
  </si>
  <si>
    <t>vivaan.gupta615@gmail.com</t>
  </si>
  <si>
    <t>LD20260106</t>
  </si>
  <si>
    <t>Aarav Verma</t>
  </si>
  <si>
    <t>aarav.verma653@gmail.com</t>
  </si>
  <si>
    <t>LD20260107</t>
  </si>
  <si>
    <t>karan.joshi40@gmail.com</t>
  </si>
  <si>
    <t>LD20260108</t>
  </si>
  <si>
    <t>Rahul Yadav</t>
  </si>
  <si>
    <t>rahul.yadav320@gmail.com</t>
  </si>
  <si>
    <t>LD20260109</t>
  </si>
  <si>
    <t>Ishita Mishra</t>
  </si>
  <si>
    <t>ishita.mishra564@gmail.com</t>
  </si>
  <si>
    <t>LD20260110</t>
  </si>
  <si>
    <t>Aditi Joshi</t>
  </si>
  <si>
    <t>aditi.joshi684@gmail.com</t>
  </si>
  <si>
    <t>LD20260111</t>
  </si>
  <si>
    <t>Aarav Patil</t>
  </si>
  <si>
    <t>aarav.patil786@gmail.com</t>
  </si>
  <si>
    <t>LD20260112</t>
  </si>
  <si>
    <t>Rahul Deshmukh</t>
  </si>
  <si>
    <t>rahul.deshmukh117@gmail.com</t>
  </si>
  <si>
    <t>LD20260113</t>
  </si>
  <si>
    <t>Nikhil Patel</t>
  </si>
  <si>
    <t>nikhil.patel657@gmail.com</t>
  </si>
  <si>
    <t>LD20260114</t>
  </si>
  <si>
    <t>sneha.patel534@gmail.com</t>
  </si>
  <si>
    <t>LD20260115</t>
  </si>
  <si>
    <t>Vikas Mehta</t>
  </si>
  <si>
    <t>vikas.mehta55@gmail.com</t>
  </si>
  <si>
    <t>LD20260116</t>
  </si>
  <si>
    <t>Neha Yadav</t>
  </si>
  <si>
    <t>neha.yadav415@gmail.com</t>
  </si>
  <si>
    <t>LD20260117</t>
  </si>
  <si>
    <t>rahul.deshmukh368@gmail.com</t>
  </si>
  <si>
    <t>LD20260118</t>
  </si>
  <si>
    <t>arjun.deshmukh614@gmail.com</t>
  </si>
  <si>
    <t>LD20260119</t>
  </si>
  <si>
    <t>aditi.deshmukh675@gmail.com</t>
  </si>
  <si>
    <t>LD20260120</t>
  </si>
  <si>
    <t>Sakshi Gupta</t>
  </si>
  <si>
    <t>sakshi.gupta458@gmail.com</t>
  </si>
  <si>
    <t>LD20260121</t>
  </si>
  <si>
    <t>Aditi Mehta</t>
  </si>
  <si>
    <t>aditi.mehta94@gmail.com</t>
  </si>
  <si>
    <t>LD20260122</t>
  </si>
  <si>
    <t>Aman Verma</t>
  </si>
  <si>
    <t>aman.verma56@gmail.com</t>
  </si>
  <si>
    <t>LD20260123</t>
  </si>
  <si>
    <t>Karan Patel</t>
  </si>
  <si>
    <t>karan.patel907@gmail.com</t>
  </si>
  <si>
    <t>LD20260124</t>
  </si>
  <si>
    <t>Rahul Mehta</t>
  </si>
  <si>
    <t>rahul.mehta919@gmail.com</t>
  </si>
  <si>
    <t>LD20260125</t>
  </si>
  <si>
    <t>Priya Yadav</t>
  </si>
  <si>
    <t>priya.yadav519@gmail.com</t>
  </si>
  <si>
    <t>LD20260126</t>
  </si>
  <si>
    <t>Pooja Borkar</t>
  </si>
  <si>
    <t>pooja.borkar386@gmail.com</t>
  </si>
  <si>
    <t>LD20260127</t>
  </si>
  <si>
    <t>Yash Jain</t>
  </si>
  <si>
    <t>yash.jain904@gmail.com</t>
  </si>
  <si>
    <t>LD20260128</t>
  </si>
  <si>
    <t>Yash Patel</t>
  </si>
  <si>
    <t>yash.patel369@gmail.com</t>
  </si>
  <si>
    <t>LD20260129</t>
  </si>
  <si>
    <t>Aman Joshi</t>
  </si>
  <si>
    <t>aman.joshi318@gmail.com</t>
  </si>
  <si>
    <t>LD20260130</t>
  </si>
  <si>
    <t>akash.mishra443@gmail.com</t>
  </si>
  <si>
    <t>LD20260131</t>
  </si>
  <si>
    <t>aarav.sharma3@gmail.com</t>
  </si>
  <si>
    <t>LD20260132</t>
  </si>
  <si>
    <t>Yash Joshi</t>
  </si>
  <si>
    <t>yash.joshi604@gmail.com</t>
  </si>
  <si>
    <t>LD20260133</t>
  </si>
  <si>
    <t>Neha Jain</t>
  </si>
  <si>
    <t>neha.jain153@gmail.com</t>
  </si>
  <si>
    <t>LD20260134</t>
  </si>
  <si>
    <t>aarav.sharma661@gmail.com</t>
  </si>
  <si>
    <t>LD20260135</t>
  </si>
  <si>
    <t>neha.patel926@gmail.com</t>
  </si>
  <si>
    <t>LD20260136</t>
  </si>
  <si>
    <t>vivaan.borkar798@gmail.com</t>
  </si>
  <si>
    <t>LD20260137</t>
  </si>
  <si>
    <t>aman.yadav659@gmail.com</t>
  </si>
  <si>
    <t>LD20260138</t>
  </si>
  <si>
    <t>aditya.joshi641@gmail.com</t>
  </si>
  <si>
    <t>LD20260139</t>
  </si>
  <si>
    <t>Aditya Jain</t>
  </si>
  <si>
    <t>aditya.jain672@gmail.com</t>
  </si>
  <si>
    <t>LD20260140</t>
  </si>
  <si>
    <t>pooja.borkar768@gmail.com</t>
  </si>
  <si>
    <t>LD20260141</t>
  </si>
  <si>
    <t>priya.joshi658@gmail.com</t>
  </si>
  <si>
    <t>LD20260142</t>
  </si>
  <si>
    <t>rahul.jain937@gmail.com</t>
  </si>
  <si>
    <t>LD20260143</t>
  </si>
  <si>
    <t>Vikas Kulkarni</t>
  </si>
  <si>
    <t>vikas.kulkarni860@gmail.com</t>
  </si>
  <si>
    <t>LD20260144</t>
  </si>
  <si>
    <t>Karan Deshmukh</t>
  </si>
  <si>
    <t>karan.deshmukh638@gmail.com</t>
  </si>
  <si>
    <t>LD20260145</t>
  </si>
  <si>
    <t>Akash Borkar</t>
  </si>
  <si>
    <t>akash.borkar166@gmail.com</t>
  </si>
  <si>
    <t>LD20260146</t>
  </si>
  <si>
    <t>aditya.jain48@gmail.com</t>
  </si>
  <si>
    <t>LD20260147</t>
  </si>
  <si>
    <t>arjun.gupta211@gmail.com</t>
  </si>
  <si>
    <t>LD20260148</t>
  </si>
  <si>
    <t>Vikas Verma</t>
  </si>
  <si>
    <t>vikas.verma136@gmail.com</t>
  </si>
  <si>
    <t>LD20260149</t>
  </si>
  <si>
    <t>Ananya Joshi</t>
  </si>
  <si>
    <t>ananya.joshi953@gmail.com</t>
  </si>
  <si>
    <t>LD20260150</t>
  </si>
  <si>
    <t>Akash Jain</t>
  </si>
  <si>
    <t>akash.jain32@gmail.com</t>
  </si>
  <si>
    <t>LD20260151</t>
  </si>
  <si>
    <t>Nikhil Yadav</t>
  </si>
  <si>
    <t>nikhil.yadav222@gmail.com</t>
  </si>
  <si>
    <t>LD20260152</t>
  </si>
  <si>
    <t>vivaan.sharma357@gmail.com</t>
  </si>
  <si>
    <t>LD20260153</t>
  </si>
  <si>
    <t>priya.yadav967@gmail.com</t>
  </si>
  <si>
    <t>LD20260154</t>
  </si>
  <si>
    <t>Vikas Agrawal</t>
  </si>
  <si>
    <t>vikas.agrawal714@gmail.com</t>
  </si>
  <si>
    <t>LD20260155</t>
  </si>
  <si>
    <t>Aditi Borkar</t>
  </si>
  <si>
    <t>aditi.borkar662@gmail.com</t>
  </si>
  <si>
    <t>LD20260156</t>
  </si>
  <si>
    <t>Ishita Borkar</t>
  </si>
  <si>
    <t>ishita.borkar646@gmail.com</t>
  </si>
  <si>
    <t>LD20260157</t>
  </si>
  <si>
    <t>Yash Mehta</t>
  </si>
  <si>
    <t>yash.mehta535@gmail.com</t>
  </si>
  <si>
    <t>LD20260158</t>
  </si>
  <si>
    <t>priya.yadav237@gmail.com</t>
  </si>
  <si>
    <t>LD20260159</t>
  </si>
  <si>
    <t>Rohan Jain</t>
  </si>
  <si>
    <t>rohan.jain160@gmail.com</t>
  </si>
  <si>
    <t>LD20260160</t>
  </si>
  <si>
    <t>Priya Jain</t>
  </si>
  <si>
    <t>priya.jain105@gmail.com</t>
  </si>
  <si>
    <t>LD20260161</t>
  </si>
  <si>
    <t>Sneha Deshmukh</t>
  </si>
  <si>
    <t>sneha.deshmukh281@gmail.com</t>
  </si>
  <si>
    <t>LD20260162</t>
  </si>
  <si>
    <t>Aarav Deshmukh</t>
  </si>
  <si>
    <t>aarav.deshmukh875@gmail.com</t>
  </si>
  <si>
    <t>LD20260163</t>
  </si>
  <si>
    <t>Ishita Sharma</t>
  </si>
  <si>
    <t>ishita.sharma759@gmail.com</t>
  </si>
  <si>
    <t>LD20260164</t>
  </si>
  <si>
    <t>Neha Mishra</t>
  </si>
  <si>
    <t>neha.mishra186@gmail.com</t>
  </si>
  <si>
    <t>LD20260165</t>
  </si>
  <si>
    <t>Rahul Joshi</t>
  </si>
  <si>
    <t>rahul.joshi870@gmail.com</t>
  </si>
  <si>
    <t>LD20260166</t>
  </si>
  <si>
    <t>Pooja Agrawal</t>
  </si>
  <si>
    <t>pooja.agrawal11@gmail.com</t>
  </si>
  <si>
    <t>LD20260167</t>
  </si>
  <si>
    <t>aman.mehta104@gmail.com</t>
  </si>
  <si>
    <t>LD20260168</t>
  </si>
  <si>
    <t>aman.mehta421@gmail.com</t>
  </si>
  <si>
    <t>LD20260169</t>
  </si>
  <si>
    <t>Ananya Mishra</t>
  </si>
  <si>
    <t>ananya.mishra58@gmail.com</t>
  </si>
  <si>
    <t>LD20260170</t>
  </si>
  <si>
    <t>Ananya Yadav</t>
  </si>
  <si>
    <t>ananya.yadav272@gmail.com</t>
  </si>
  <si>
    <t>LD20260171</t>
  </si>
  <si>
    <t>rahul.patel952@gmail.com</t>
  </si>
  <si>
    <t>LD20260172</t>
  </si>
  <si>
    <t>ananya.mishra655@gmail.com</t>
  </si>
  <si>
    <t>LD20260173</t>
  </si>
  <si>
    <t>priya.jain386@gmail.com</t>
  </si>
  <si>
    <t>LD20260174</t>
  </si>
  <si>
    <t>Ananya Gupta</t>
  </si>
  <si>
    <t>ananya.gupta671@gmail.com</t>
  </si>
  <si>
    <t>LD20260175</t>
  </si>
  <si>
    <t>Rohan Borkar</t>
  </si>
  <si>
    <t>rohan.borkar311@gmail.com</t>
  </si>
  <si>
    <t>LD20260176</t>
  </si>
  <si>
    <t>Yash Sharma</t>
  </si>
  <si>
    <t>yash.sharma674@gmail.com</t>
  </si>
  <si>
    <t>LD20260177</t>
  </si>
  <si>
    <t>neha.patel795@gmail.com</t>
  </si>
  <si>
    <t>LD20260178</t>
  </si>
  <si>
    <t>Aditya Mishra</t>
  </si>
  <si>
    <t>aditya.mishra924@gmail.com</t>
  </si>
  <si>
    <t>LD20260179</t>
  </si>
  <si>
    <t>Arjun Singh</t>
  </si>
  <si>
    <t>arjun.singh122@gmail.com</t>
  </si>
  <si>
    <t>LD20260180</t>
  </si>
  <si>
    <t>Sakshi Borkar</t>
  </si>
  <si>
    <t>sakshi.borkar148@gmail.com</t>
  </si>
  <si>
    <t>LD20260181</t>
  </si>
  <si>
    <t>Pooja Kulkarni</t>
  </si>
  <si>
    <t>pooja.kulkarni713@gmail.com</t>
  </si>
  <si>
    <t>LD20260182</t>
  </si>
  <si>
    <t>Aditya Patel</t>
  </si>
  <si>
    <t>aditya.patel653@gmail.com</t>
  </si>
  <si>
    <t>LD20260183</t>
  </si>
  <si>
    <t>arjun.singh496@gmail.com</t>
  </si>
  <si>
    <t>LD20260184</t>
  </si>
  <si>
    <t>Arjun Patil</t>
  </si>
  <si>
    <t>arjun.patil675@gmail.com</t>
  </si>
  <si>
    <t>LD20260185</t>
  </si>
  <si>
    <t>aditi.joshi568@gmail.com</t>
  </si>
  <si>
    <t>LD20260186</t>
  </si>
  <si>
    <t>Priya Patil</t>
  </si>
  <si>
    <t>priya.patil519@gmail.com</t>
  </si>
  <si>
    <t>LD20260187</t>
  </si>
  <si>
    <t>sneha.patel601@gmail.com</t>
  </si>
  <si>
    <t>LD20260188</t>
  </si>
  <si>
    <t>Sneha Verma</t>
  </si>
  <si>
    <t>sneha.verma7@gmail.com</t>
  </si>
  <si>
    <t>LD20260189</t>
  </si>
  <si>
    <t>akash.deshmukh632@gmail.com</t>
  </si>
  <si>
    <t>LD20260190</t>
  </si>
  <si>
    <t>Rahul Verma</t>
  </si>
  <si>
    <t>rahul.verma680@gmail.com</t>
  </si>
  <si>
    <t>LD20260191</t>
  </si>
  <si>
    <t>Sneha Singh</t>
  </si>
  <si>
    <t>sneha.singh728@gmail.com</t>
  </si>
  <si>
    <t>LD20260192</t>
  </si>
  <si>
    <t>Yash Borkar</t>
  </si>
  <si>
    <t>yash.borkar936@gmail.com</t>
  </si>
  <si>
    <t>LD20260193</t>
  </si>
  <si>
    <t>sakshi.verma15@gmail.com</t>
  </si>
  <si>
    <t>LD20260194</t>
  </si>
  <si>
    <t>vikas.gupta918@gmail.com</t>
  </si>
  <si>
    <t>LD20260195</t>
  </si>
  <si>
    <t>aditya.gupta891@gmail.com</t>
  </si>
  <si>
    <t>LD20260196</t>
  </si>
  <si>
    <t>Vivaan Mehta</t>
  </si>
  <si>
    <t>vivaan.mehta793@gmail.com</t>
  </si>
  <si>
    <t>LD20260197</t>
  </si>
  <si>
    <t>Vivaan Jain</t>
  </si>
  <si>
    <t>vivaan.jain33@gmail.com</t>
  </si>
  <si>
    <t>LD20260198</t>
  </si>
  <si>
    <t>Rahul Patil</t>
  </si>
  <si>
    <t>rahul.patil855@gmail.com</t>
  </si>
  <si>
    <t>LD20260199</t>
  </si>
  <si>
    <t>rahul.patel990@gmail.com</t>
  </si>
  <si>
    <t>LD20260200</t>
  </si>
  <si>
    <t>priya.agrawal773@gmail.com</t>
  </si>
  <si>
    <t>LD20260201</t>
  </si>
  <si>
    <t>Pooja Patil</t>
  </si>
  <si>
    <t>pooja.patil621@gmail.com</t>
  </si>
  <si>
    <t>LD20260202</t>
  </si>
  <si>
    <t>Ishita Yadav</t>
  </si>
  <si>
    <t>ishita.yadav790@gmail.com</t>
  </si>
  <si>
    <t>LD20260203</t>
  </si>
  <si>
    <t>yash.borkar836@gmail.com</t>
  </si>
  <si>
    <t>LD20260204</t>
  </si>
  <si>
    <t>Ananya Singh</t>
  </si>
  <si>
    <t>ananya.singh88@gmail.com</t>
  </si>
  <si>
    <t>LD20260205</t>
  </si>
  <si>
    <t>Ishita Kulkarni</t>
  </si>
  <si>
    <t>ishita.kulkarni726@gmail.com</t>
  </si>
  <si>
    <t>LD20260206</t>
  </si>
  <si>
    <t>Nikhil Agrawal</t>
  </si>
  <si>
    <t>nikhil.agrawal364@gmail.com</t>
  </si>
  <si>
    <t>LD20260207</t>
  </si>
  <si>
    <t>aman.yadav207@gmail.com</t>
  </si>
  <si>
    <t>LD20260208</t>
  </si>
  <si>
    <t>Ananya Deshmukh</t>
  </si>
  <si>
    <t>ananya.deshmukh799@gmail.com</t>
  </si>
  <si>
    <t>LD20260209</t>
  </si>
  <si>
    <t>aditya.patel324@gmail.com</t>
  </si>
  <si>
    <t>LD20260210</t>
  </si>
  <si>
    <t>Karan Patil</t>
  </si>
  <si>
    <t>karan.patil887@gmail.com</t>
  </si>
  <si>
    <t>LD20260211</t>
  </si>
  <si>
    <t>sakshi.agrawal608@gmail.com</t>
  </si>
  <si>
    <t>LD20260212</t>
  </si>
  <si>
    <t>aarav.sharma36@gmail.com</t>
  </si>
  <si>
    <t>LD20260213</t>
  </si>
  <si>
    <t>Arjun Jain</t>
  </si>
  <si>
    <t>arjun.jain983@gmail.com</t>
  </si>
  <si>
    <t>LD20260214</t>
  </si>
  <si>
    <t>Rahul Kulkarni</t>
  </si>
  <si>
    <t>rahul.kulkarni871@gmail.com</t>
  </si>
  <si>
    <t>LD20260215</t>
  </si>
  <si>
    <t>Nikhil Borkar</t>
  </si>
  <si>
    <t>nikhil.borkar29@gmail.com</t>
  </si>
  <si>
    <t>LD20260216</t>
  </si>
  <si>
    <t>Karan Mishra</t>
  </si>
  <si>
    <t>karan.mishra767@gmail.com</t>
  </si>
  <si>
    <t>LD20260217</t>
  </si>
  <si>
    <t>Priya Deshmukh</t>
  </si>
  <si>
    <t>priya.deshmukh128@gmail.com</t>
  </si>
  <si>
    <t>LD20260218</t>
  </si>
  <si>
    <t>Sakshi Jain</t>
  </si>
  <si>
    <t>sakshi.jain935@gmail.com</t>
  </si>
  <si>
    <t>LD20260219</t>
  </si>
  <si>
    <t>sakshi.verma949@gmail.com</t>
  </si>
  <si>
    <t>LD20260220</t>
  </si>
  <si>
    <t>vikas.verma644@gmail.com</t>
  </si>
  <si>
    <t>LD20260221</t>
  </si>
  <si>
    <t>nikhil.borkar149@gmail.com</t>
  </si>
  <si>
    <t>LD20260222</t>
  </si>
  <si>
    <t>Yash Patil</t>
  </si>
  <si>
    <t>yash.patil304@gmail.com</t>
  </si>
  <si>
    <t>LD20260223</t>
  </si>
  <si>
    <t>Arjun Patel</t>
  </si>
  <si>
    <t>arjun.patel526@gmail.com</t>
  </si>
  <si>
    <t>LD20260224</t>
  </si>
  <si>
    <t>Karan Mehta</t>
  </si>
  <si>
    <t>karan.mehta443@gmail.com</t>
  </si>
  <si>
    <t>LD20260225</t>
  </si>
  <si>
    <t>Vivaan Patil</t>
  </si>
  <si>
    <t>vivaan.patil744@gmail.com</t>
  </si>
  <si>
    <t>LD20260226</t>
  </si>
  <si>
    <t>sakshi.sharma809@gmail.com</t>
  </si>
  <si>
    <t>LD20260227</t>
  </si>
  <si>
    <t>yash.patel142@gmail.com</t>
  </si>
  <si>
    <t>LD20260228</t>
  </si>
  <si>
    <t>akash.jain508@gmail.com</t>
  </si>
  <si>
    <t>LD20260229</t>
  </si>
  <si>
    <t>aarav.verma709@gmail.com</t>
  </si>
  <si>
    <t>LD20260230</t>
  </si>
  <si>
    <t>Aditya Sharma</t>
  </si>
  <si>
    <t>aditya.sharma420@gmail.com</t>
  </si>
  <si>
    <t>LD20260231</t>
  </si>
  <si>
    <t>Vivaan Patel</t>
  </si>
  <si>
    <t>vivaan.patel720@gmail.com</t>
  </si>
  <si>
    <t>LD20260232</t>
  </si>
  <si>
    <t>Arjun Mehta</t>
  </si>
  <si>
    <t>arjun.mehta732@gmail.com</t>
  </si>
  <si>
    <t>LD20260233</t>
  </si>
  <si>
    <t>vikas.kulkarni526@gmail.com</t>
  </si>
  <si>
    <t>LD20260234</t>
  </si>
  <si>
    <t>rahul.patel106@gmail.com</t>
  </si>
  <si>
    <t>LD20260235</t>
  </si>
  <si>
    <t>priya.sharma858@gmail.com</t>
  </si>
  <si>
    <t>LD20260236</t>
  </si>
  <si>
    <t>Ananya Patil</t>
  </si>
  <si>
    <t>ananya.patil97@gmail.com</t>
  </si>
  <si>
    <t>LD20260237</t>
  </si>
  <si>
    <t>Arjun Verma</t>
  </si>
  <si>
    <t>arjun.verma125@gmail.com</t>
  </si>
  <si>
    <t>LD20260238</t>
  </si>
  <si>
    <t>sakshi.jain407@gmail.com</t>
  </si>
  <si>
    <t>LD20260239</t>
  </si>
  <si>
    <t>Aman Sharma</t>
  </si>
  <si>
    <t>aman.sharma406@gmail.com</t>
  </si>
  <si>
    <t>LD20260240</t>
  </si>
  <si>
    <t>pooja.patil411@gmail.com</t>
  </si>
  <si>
    <t>LD20260241</t>
  </si>
  <si>
    <t>aarav.mehta112@gmail.com</t>
  </si>
  <si>
    <t>LD20260242</t>
  </si>
  <si>
    <t>neha.patel431@gmail.com</t>
  </si>
  <si>
    <t>LD20260243</t>
  </si>
  <si>
    <t>priya.borkar695@gmail.com</t>
  </si>
  <si>
    <t>LD20260244</t>
  </si>
  <si>
    <t>arjun.singh14@gmail.com</t>
  </si>
  <si>
    <t>LD20260245</t>
  </si>
  <si>
    <t>Arjun Sharma</t>
  </si>
  <si>
    <t>arjun.sharma609@gmail.com</t>
  </si>
  <si>
    <t>LD20260246</t>
  </si>
  <si>
    <t>Aman Patel</t>
  </si>
  <si>
    <t>aman.patel907@gmail.com</t>
  </si>
  <si>
    <t>LD20260247</t>
  </si>
  <si>
    <t>Sneha Patil</t>
  </si>
  <si>
    <t>sneha.patil466@gmail.com</t>
  </si>
  <si>
    <t>LD20260248</t>
  </si>
  <si>
    <t>Nikhil Joshi</t>
  </si>
  <si>
    <t>nikhil.joshi628@gmail.com</t>
  </si>
  <si>
    <t>LD20260249</t>
  </si>
  <si>
    <t>Nikhil Deshmukh</t>
  </si>
  <si>
    <t>nikhil.deshmukh993@gmail.com</t>
  </si>
  <si>
    <t>LD20260250</t>
  </si>
  <si>
    <t>vikas.joshi292@gmail.com</t>
  </si>
  <si>
    <t>LD20260251</t>
  </si>
  <si>
    <t>sakshi.mishra64@gmail.com</t>
  </si>
  <si>
    <t>LD20260252</t>
  </si>
  <si>
    <t>aditi.mehta685@gmail.com</t>
  </si>
  <si>
    <t>LD20260253</t>
  </si>
  <si>
    <t>arjun.jain877@gmail.com</t>
  </si>
  <si>
    <t>LD20260254</t>
  </si>
  <si>
    <t>Yash Verma</t>
  </si>
  <si>
    <t>yash.verma510@gmail.com</t>
  </si>
  <si>
    <t>LD20260255</t>
  </si>
  <si>
    <t>Ishita Patil</t>
  </si>
  <si>
    <t>ishita.patil464@gmail.com</t>
  </si>
  <si>
    <t>LD20260256</t>
  </si>
  <si>
    <t>ishita.mishra330@gmail.com</t>
  </si>
  <si>
    <t>LD20260257</t>
  </si>
  <si>
    <t>Aditi Yadav</t>
  </si>
  <si>
    <t>aditi.yadav387@gmail.com</t>
  </si>
  <si>
    <t>LD20260258</t>
  </si>
  <si>
    <t>aditi.borkar933@gmail.com</t>
  </si>
  <si>
    <t>LD20260259</t>
  </si>
  <si>
    <t>nikhil.yadav448@gmail.com</t>
  </si>
  <si>
    <t>LD20260260</t>
  </si>
  <si>
    <t>ananya.kulkarni971@gmail.com</t>
  </si>
  <si>
    <t>LD20260261</t>
  </si>
  <si>
    <t>nikhil.borkar588@gmail.com</t>
  </si>
  <si>
    <t>LD20260262</t>
  </si>
  <si>
    <t>pooja.jain543@gmail.com</t>
  </si>
  <si>
    <t>LD20260263</t>
  </si>
  <si>
    <t>Arjun Mishra</t>
  </si>
  <si>
    <t>arjun.mishra916@gmail.com</t>
  </si>
  <si>
    <t>LD20260264</t>
  </si>
  <si>
    <t>karan.singh915@gmail.com</t>
  </si>
  <si>
    <t>LD20260265</t>
  </si>
  <si>
    <t>Yash Mishra</t>
  </si>
  <si>
    <t>yash.mishra652@gmail.com</t>
  </si>
  <si>
    <t>LD20260266</t>
  </si>
  <si>
    <t>arjun.yadav16@gmail.com</t>
  </si>
  <si>
    <t>LD20260267</t>
  </si>
  <si>
    <t>aman.patel589@gmail.com</t>
  </si>
  <si>
    <t>LD20260268</t>
  </si>
  <si>
    <t>arjun.sharma103@gmail.com</t>
  </si>
  <si>
    <t>LD20260269</t>
  </si>
  <si>
    <t>Aarav Mishra</t>
  </si>
  <si>
    <t>aarav.mishra790@gmail.com</t>
  </si>
  <si>
    <t>LD20260270</t>
  </si>
  <si>
    <t>arjun.patil926@gmail.com</t>
  </si>
  <si>
    <t>LD20260271</t>
  </si>
  <si>
    <t>Neha Borkar</t>
  </si>
  <si>
    <t>neha.borkar406@gmail.com</t>
  </si>
  <si>
    <t>LD20260272</t>
  </si>
  <si>
    <t>Rahul Borkar</t>
  </si>
  <si>
    <t>rahul.borkar602@gmail.com</t>
  </si>
  <si>
    <t>LD20260273</t>
  </si>
  <si>
    <t>aditya.gupta694@gmail.com</t>
  </si>
  <si>
    <t>LD20260274</t>
  </si>
  <si>
    <t>neha.verma178@gmail.com</t>
  </si>
  <si>
    <t>LD20260275</t>
  </si>
  <si>
    <t>arjun.mehta547@gmail.com</t>
  </si>
  <si>
    <t>LD20260276</t>
  </si>
  <si>
    <t>Ishita Gupta</t>
  </si>
  <si>
    <t>ishita.gupta479@gmail.com</t>
  </si>
  <si>
    <t>LD20260277</t>
  </si>
  <si>
    <t>Rohan Gupta</t>
  </si>
  <si>
    <t>rohan.gupta723@gmail.com</t>
  </si>
  <si>
    <t>LD20260278</t>
  </si>
  <si>
    <t>neha.patel377@gmail.com</t>
  </si>
  <si>
    <t>LD20260279</t>
  </si>
  <si>
    <t>Aman Gupta</t>
  </si>
  <si>
    <t>aman.gupta233@gmail.com</t>
  </si>
  <si>
    <t>LD20260280</t>
  </si>
  <si>
    <t>ishita.yadav523@gmail.com</t>
  </si>
  <si>
    <t>LD20260281</t>
  </si>
  <si>
    <t>aarav.mishra736@gmail.com</t>
  </si>
  <si>
    <t>LD20260282</t>
  </si>
  <si>
    <t>Pooja Gupta</t>
  </si>
  <si>
    <t>pooja.gupta679@gmail.com</t>
  </si>
  <si>
    <t>LD20260283</t>
  </si>
  <si>
    <t>sneha.verma232@gmail.com</t>
  </si>
  <si>
    <t>LD20260284</t>
  </si>
  <si>
    <t>Priya Patel</t>
  </si>
  <si>
    <t>priya.patel31@gmail.com</t>
  </si>
  <si>
    <t>LD20260285</t>
  </si>
  <si>
    <t>Neha Patil</t>
  </si>
  <si>
    <t>neha.patil411@gmail.com</t>
  </si>
  <si>
    <t>LD20260286</t>
  </si>
  <si>
    <t>neha.jain694@gmail.com</t>
  </si>
  <si>
    <t>LD20260287</t>
  </si>
  <si>
    <t>Rohan Deshmukh</t>
  </si>
  <si>
    <t>rohan.deshmukh757@gmail.com</t>
  </si>
  <si>
    <t>LD20260288</t>
  </si>
  <si>
    <t>priya.borkar446@gmail.com</t>
  </si>
  <si>
    <t>LD20260289</t>
  </si>
  <si>
    <t>akash.jain49@gmail.com</t>
  </si>
  <si>
    <t>LD20260290</t>
  </si>
  <si>
    <t>Aditi Jain</t>
  </si>
  <si>
    <t>aditi.jain762@gmail.com</t>
  </si>
  <si>
    <t>LD20260291</t>
  </si>
  <si>
    <t>pooja.jain516@gmail.com</t>
  </si>
  <si>
    <t>LD20260292</t>
  </si>
  <si>
    <t>vivaan.jain845@gmail.com</t>
  </si>
  <si>
    <t>LD20260293</t>
  </si>
  <si>
    <t>vivaan.patel367@gmail.com</t>
  </si>
  <si>
    <t>LD20260294</t>
  </si>
  <si>
    <t>vikas.gupta723@gmail.com</t>
  </si>
  <si>
    <t>LD20260295</t>
  </si>
  <si>
    <t>Rohan Yadav</t>
  </si>
  <si>
    <t>rohan.yadav577@gmail.com</t>
  </si>
  <si>
    <t>LD20260296</t>
  </si>
  <si>
    <t>Akash Kulkarni</t>
  </si>
  <si>
    <t>akash.kulkarni860@gmail.com</t>
  </si>
  <si>
    <t>LD20260297</t>
  </si>
  <si>
    <t>vivaan.borkar288@gmail.com</t>
  </si>
  <si>
    <t>LD20260298</t>
  </si>
  <si>
    <t>Sakshi Yadav</t>
  </si>
  <si>
    <t>sakshi.yadav372@gmail.com</t>
  </si>
  <si>
    <t>LD20260299</t>
  </si>
  <si>
    <t>aditya.jain735@gmail.com</t>
  </si>
  <si>
    <t>LD20260300</t>
  </si>
  <si>
    <t>Nikhil Mehta</t>
  </si>
  <si>
    <t>nikhil.mehta9@gmail.com</t>
  </si>
  <si>
    <t>LD20260301</t>
  </si>
  <si>
    <t>neha.verma142@gmail.com</t>
  </si>
  <si>
    <t>LD20260302</t>
  </si>
  <si>
    <t>rahul.verma804@gmail.com</t>
  </si>
  <si>
    <t>LD20260303</t>
  </si>
  <si>
    <t>Rohan Singh</t>
  </si>
  <si>
    <t>rohan.singh942@gmail.com</t>
  </si>
  <si>
    <t>LD20260304</t>
  </si>
  <si>
    <t>vivaan.gupta507@gmail.com</t>
  </si>
  <si>
    <t>LD20260305</t>
  </si>
  <si>
    <t>neha.patel142@gmail.com</t>
  </si>
  <si>
    <t>LD20260306</t>
  </si>
  <si>
    <t>Ananya Sharma</t>
  </si>
  <si>
    <t>ananya.sharma33@gmail.com</t>
  </si>
  <si>
    <t>LD20260307</t>
  </si>
  <si>
    <t>aditi.borkar347@gmail.com</t>
  </si>
  <si>
    <t>LD20260308</t>
  </si>
  <si>
    <t>sakshi.agrawal577@gmail.com</t>
  </si>
  <si>
    <t>LD20260309</t>
  </si>
  <si>
    <t>Aditi Singh</t>
  </si>
  <si>
    <t>aditi.singh931@gmail.com</t>
  </si>
  <si>
    <t>LD20260310</t>
  </si>
  <si>
    <t>akash.mishra305@gmail.com</t>
  </si>
  <si>
    <t>LD20260311</t>
  </si>
  <si>
    <t>Aman Borkar</t>
  </si>
  <si>
    <t>aman.borkar649@gmail.com</t>
  </si>
  <si>
    <t>LD20260312</t>
  </si>
  <si>
    <t>ananya.singh595@gmail.com</t>
  </si>
  <si>
    <t>LD20260313</t>
  </si>
  <si>
    <t>neha.patel992@gmail.com</t>
  </si>
  <si>
    <t>LD20260314</t>
  </si>
  <si>
    <t>aman.mishra258@gmail.com</t>
  </si>
  <si>
    <t>LD20260315</t>
  </si>
  <si>
    <t>aman.borkar603@gmail.com</t>
  </si>
  <si>
    <t>LD20260316</t>
  </si>
  <si>
    <t>Nikhil Singh</t>
  </si>
  <si>
    <t>nikhil.singh732@gmail.com</t>
  </si>
  <si>
    <t>LD20260317</t>
  </si>
  <si>
    <t>Yash Kulkarni</t>
  </si>
  <si>
    <t>yash.kulkarni794@gmail.com</t>
  </si>
  <si>
    <t>LD20260318</t>
  </si>
  <si>
    <t>vivaan.sharma719@gmail.com</t>
  </si>
  <si>
    <t>LD20260319</t>
  </si>
  <si>
    <t>akash.patil207@gmail.com</t>
  </si>
  <si>
    <t>LD20260320</t>
  </si>
  <si>
    <t>Priya Verma</t>
  </si>
  <si>
    <t>priya.verma246@gmail.com</t>
  </si>
  <si>
    <t>LD20260321</t>
  </si>
  <si>
    <t>Ananya Verma</t>
  </si>
  <si>
    <t>ananya.verma365@gmail.com</t>
  </si>
  <si>
    <t>LD20260322</t>
  </si>
  <si>
    <t>sakshi.sharma859@gmail.com</t>
  </si>
  <si>
    <t>LD20260323</t>
  </si>
  <si>
    <t>rahul.patel568@gmail.com</t>
  </si>
  <si>
    <t>LD20260324</t>
  </si>
  <si>
    <t>sakshi.sharma26@gmail.com</t>
  </si>
  <si>
    <t>LD20260325</t>
  </si>
  <si>
    <t>akash.patil661@gmail.com</t>
  </si>
  <si>
    <t>LD20260326</t>
  </si>
  <si>
    <t>aman.verma370@gmail.com</t>
  </si>
  <si>
    <t>LD20260327</t>
  </si>
  <si>
    <t>rahul.patil370@gmail.com</t>
  </si>
  <si>
    <t>LD20260328</t>
  </si>
  <si>
    <t>yash.kulkarni342@gmail.com</t>
  </si>
  <si>
    <t>LD20260329</t>
  </si>
  <si>
    <t>priya.deshmukh280@gmail.com</t>
  </si>
  <si>
    <t>LD20260330</t>
  </si>
  <si>
    <t>vivaan.borkar575@gmail.com</t>
  </si>
  <si>
    <t>LD20260331</t>
  </si>
  <si>
    <t>neha.patil816@gmail.com</t>
  </si>
  <si>
    <t>LD20260332</t>
  </si>
  <si>
    <t>ananya.patil564@gmail.com</t>
  </si>
  <si>
    <t>LD20260333</t>
  </si>
  <si>
    <t>neha.agrawal241@gmail.com</t>
  </si>
  <si>
    <t>LD20260334</t>
  </si>
  <si>
    <t>Yash Agrawal</t>
  </si>
  <si>
    <t>yash.agrawal310@gmail.com</t>
  </si>
  <si>
    <t>LD20260335</t>
  </si>
  <si>
    <t>Nikhil Mishra</t>
  </si>
  <si>
    <t>nikhil.mishra960@gmail.com</t>
  </si>
  <si>
    <t>LD20260336</t>
  </si>
  <si>
    <t>ananya.kulkarni366@gmail.com</t>
  </si>
  <si>
    <t>LD20260337</t>
  </si>
  <si>
    <t>Rahul Mishra</t>
  </si>
  <si>
    <t>rahul.mishra275@gmail.com</t>
  </si>
  <si>
    <t>LD20260338</t>
  </si>
  <si>
    <t>sneha.patil514@gmail.com</t>
  </si>
  <si>
    <t>LD20260339</t>
  </si>
  <si>
    <t>yash.mehta737@gmail.com</t>
  </si>
  <si>
    <t>LD20260340</t>
  </si>
  <si>
    <t>karan.mehta335@gmail.com</t>
  </si>
  <si>
    <t>LD20260341</t>
  </si>
  <si>
    <t>vivaan.verma642@gmail.com</t>
  </si>
  <si>
    <t>LD20260342</t>
  </si>
  <si>
    <t>Aarav Borkar</t>
  </si>
  <si>
    <t>aarav.borkar325@gmail.com</t>
  </si>
  <si>
    <t>LD20260343</t>
  </si>
  <si>
    <t>rahul.verma20@gmail.com</t>
  </si>
  <si>
    <t>LD20260344</t>
  </si>
  <si>
    <t>aditi.mehta552@gmail.com</t>
  </si>
  <si>
    <t>LD20260345</t>
  </si>
  <si>
    <t>priya.patil729@gmail.com</t>
  </si>
  <si>
    <t>LD20260346</t>
  </si>
  <si>
    <t>priya.mehta536@gmail.com</t>
  </si>
  <si>
    <t>LD20260347</t>
  </si>
  <si>
    <t>Rohan Mishra</t>
  </si>
  <si>
    <t>rohan.mishra234@gmail.com</t>
  </si>
  <si>
    <t>LD20260348</t>
  </si>
  <si>
    <t>karan.singh797@gmail.com</t>
  </si>
  <si>
    <t>LD20260349</t>
  </si>
  <si>
    <t>aman.sharma360@gmail.com</t>
  </si>
  <si>
    <t>LD20260350</t>
  </si>
  <si>
    <t>pooja.agrawal926@gmail.com</t>
  </si>
  <si>
    <t>LD20260351</t>
  </si>
  <si>
    <t>vivaan.gupta578@gmail.com</t>
  </si>
  <si>
    <t>LD20260352</t>
  </si>
  <si>
    <t>Neha Gupta</t>
  </si>
  <si>
    <t>neha.gupta363@gmail.com</t>
  </si>
  <si>
    <t>LD20260353</t>
  </si>
  <si>
    <t>Vikas Patil</t>
  </si>
  <si>
    <t>vikas.patil957@gmail.com</t>
  </si>
  <si>
    <t>LD20260354</t>
  </si>
  <si>
    <t>rahul.mehta700@gmail.com</t>
  </si>
  <si>
    <t>LD20260355</t>
  </si>
  <si>
    <t>Vivaan Agrawal</t>
  </si>
  <si>
    <t>vivaan.agrawal793@gmail.com</t>
  </si>
  <si>
    <t>LD20260356</t>
  </si>
  <si>
    <t>rohan.borkar310@gmail.com</t>
  </si>
  <si>
    <t>LD20260357</t>
  </si>
  <si>
    <t>aditya.deshmukh348@gmail.com</t>
  </si>
  <si>
    <t>LD20260358</t>
  </si>
  <si>
    <t>vivaan.patel517@gmail.com</t>
  </si>
  <si>
    <t>LD20260359</t>
  </si>
  <si>
    <t>pooja.verma900@gmail.com</t>
  </si>
  <si>
    <t>LD20260360</t>
  </si>
  <si>
    <t>nikhil.patel649@gmail.com</t>
  </si>
  <si>
    <t>LD20260361</t>
  </si>
  <si>
    <t>neha.jain75@gmail.com</t>
  </si>
  <si>
    <t>LD20260362</t>
  </si>
  <si>
    <t>Vivaan Deshmukh</t>
  </si>
  <si>
    <t>vivaan.deshmukh809@gmail.com</t>
  </si>
  <si>
    <t>LD20260363</t>
  </si>
  <si>
    <t>sneha.singh339@gmail.com</t>
  </si>
  <si>
    <t>LD20260364</t>
  </si>
  <si>
    <t>ishita.agrawal395@gmail.com</t>
  </si>
  <si>
    <t>LD20260365</t>
  </si>
  <si>
    <t>ishita.gupta846@gmail.com</t>
  </si>
  <si>
    <t>LD20260366</t>
  </si>
  <si>
    <t>Ishita Jain</t>
  </si>
  <si>
    <t>ishita.jain572@gmail.com</t>
  </si>
  <si>
    <t>LD20260367</t>
  </si>
  <si>
    <t>Vikas Jain</t>
  </si>
  <si>
    <t>vikas.jain663@gmail.com</t>
  </si>
  <si>
    <t>LD20260368</t>
  </si>
  <si>
    <t>Ananya Jain</t>
  </si>
  <si>
    <t>ananya.jain66@gmail.com</t>
  </si>
  <si>
    <t>LD20260369</t>
  </si>
  <si>
    <t>neha.borkar628@gmail.com</t>
  </si>
  <si>
    <t>LD20260370</t>
  </si>
  <si>
    <t>Rohan Verma</t>
  </si>
  <si>
    <t>rohan.verma950@gmail.com</t>
  </si>
  <si>
    <t>LD20260371</t>
  </si>
  <si>
    <t>Rohan Patil</t>
  </si>
  <si>
    <t>rohan.patil678@gmail.com</t>
  </si>
  <si>
    <t>LD20260372</t>
  </si>
  <si>
    <t>arjun.deshmukh158@gmail.com</t>
  </si>
  <si>
    <t>LD20260373</t>
  </si>
  <si>
    <t>aditya.joshi406@gmail.com</t>
  </si>
  <si>
    <t>LD20260374</t>
  </si>
  <si>
    <t>aman.patel7@gmail.com</t>
  </si>
  <si>
    <t>LD20260375</t>
  </si>
  <si>
    <t>pooja.agrawal391@gmail.com</t>
  </si>
  <si>
    <t>LD20260376</t>
  </si>
  <si>
    <t>rahul.joshi736@gmail.com</t>
  </si>
  <si>
    <t>LD20260377</t>
  </si>
  <si>
    <t>vikas.patil91@gmail.com</t>
  </si>
  <si>
    <t>LD20260378</t>
  </si>
  <si>
    <t>ishita.mehta43@gmail.com</t>
  </si>
  <si>
    <t>LD20260379</t>
  </si>
  <si>
    <t>yash.patel948@gmail.com</t>
  </si>
  <si>
    <t>LD20260380</t>
  </si>
  <si>
    <t>Aditya Agrawal</t>
  </si>
  <si>
    <t>aditya.agrawal457@gmail.com</t>
  </si>
  <si>
    <t>LD20260381</t>
  </si>
  <si>
    <t>sakshi.borkar474@gmail.com</t>
  </si>
  <si>
    <t>LD20260382</t>
  </si>
  <si>
    <t>aman.agrawal845@gmail.com</t>
  </si>
  <si>
    <t>LD20260383</t>
  </si>
  <si>
    <t>nikhil.mehta788@gmail.com</t>
  </si>
  <si>
    <t>LD20260384</t>
  </si>
  <si>
    <t>Arjun Kulkarni</t>
  </si>
  <si>
    <t>arjun.kulkarni91@gmail.com</t>
  </si>
  <si>
    <t>LD20260385</t>
  </si>
  <si>
    <t>vivaan.singh708@gmail.com</t>
  </si>
  <si>
    <t>LD20260386</t>
  </si>
  <si>
    <t>pooja.gupta531@gmail.com</t>
  </si>
  <si>
    <t>LD20260387</t>
  </si>
  <si>
    <t>Priya Mishra</t>
  </si>
  <si>
    <t>priya.mishra880@gmail.com</t>
  </si>
  <si>
    <t>LD20260388</t>
  </si>
  <si>
    <t>ishita.agrawal447@gmail.com</t>
  </si>
  <si>
    <t>LD20260389</t>
  </si>
  <si>
    <t>sakshi.mishra501@gmail.com</t>
  </si>
  <si>
    <t>LD20260390</t>
  </si>
  <si>
    <t>Pooja Sharma</t>
  </si>
  <si>
    <t>pooja.sharma546@gmail.com</t>
  </si>
  <si>
    <t>LD20260391</t>
  </si>
  <si>
    <t>Sneha Gupta</t>
  </si>
  <si>
    <t>sneha.gupta728@gmail.com</t>
  </si>
  <si>
    <t>LD20260392</t>
  </si>
  <si>
    <t>vivaan.patel445@gmail.com</t>
  </si>
  <si>
    <t>LD20260393</t>
  </si>
  <si>
    <t>Nikhil Jain</t>
  </si>
  <si>
    <t>nikhil.jain820@gmail.com</t>
  </si>
  <si>
    <t>LD20260394</t>
  </si>
  <si>
    <t>Rohan Agrawal</t>
  </si>
  <si>
    <t>rohan.agrawal940@gmail.com</t>
  </si>
  <si>
    <t>LD20260395</t>
  </si>
  <si>
    <t>neha.mishra854@gmail.com</t>
  </si>
  <si>
    <t>LD20260396</t>
  </si>
  <si>
    <t>rahul.patil458@gmail.com</t>
  </si>
  <si>
    <t>LD20260397</t>
  </si>
  <si>
    <t>priya.mehta562@gmail.com</t>
  </si>
  <si>
    <t>LD20260398</t>
  </si>
  <si>
    <t>sneha.gupta671@gmail.com</t>
  </si>
  <si>
    <t>LD20260399</t>
  </si>
  <si>
    <t>arjun.sharma849@gmail.com</t>
  </si>
  <si>
    <t>LD20260400</t>
  </si>
  <si>
    <t>vikas.mehta19@gmail.com</t>
  </si>
  <si>
    <t>LD20260401</t>
  </si>
  <si>
    <t>aditya.gupta144@gmail.com</t>
  </si>
  <si>
    <t>LD20260402</t>
  </si>
  <si>
    <t>aarav.mehta200@gmail.com</t>
  </si>
  <si>
    <t>LD20260403</t>
  </si>
  <si>
    <t>Neha Mehta</t>
  </si>
  <si>
    <t>neha.mehta761@gmail.com</t>
  </si>
  <si>
    <t>LD20260404</t>
  </si>
  <si>
    <t>arjun.jain565@gmail.com</t>
  </si>
  <si>
    <t>LD20260405</t>
  </si>
  <si>
    <t>yash.verma423@gmail.com</t>
  </si>
  <si>
    <t>LD20260406</t>
  </si>
  <si>
    <t>ananya.patel679@gmail.com</t>
  </si>
  <si>
    <t>LD20260407</t>
  </si>
  <si>
    <t>neha.verma157@gmail.com</t>
  </si>
  <si>
    <t>LD20260408</t>
  </si>
  <si>
    <t>Yash Singh</t>
  </si>
  <si>
    <t>yash.singh44@gmail.com</t>
  </si>
  <si>
    <t>LD20260409</t>
  </si>
  <si>
    <t>neha.jain893@gmail.com</t>
  </si>
  <si>
    <t>LD20260410</t>
  </si>
  <si>
    <t>Karan Jain</t>
  </si>
  <si>
    <t>karan.jain762@gmail.com</t>
  </si>
  <si>
    <t>LD20260411</t>
  </si>
  <si>
    <t>Akash Singh</t>
  </si>
  <si>
    <t>akash.singh113@gmail.com</t>
  </si>
  <si>
    <t>LD20260412</t>
  </si>
  <si>
    <t>Akash Agrawal</t>
  </si>
  <si>
    <t>akash.agrawal803@gmail.com</t>
  </si>
  <si>
    <t>LD20260413</t>
  </si>
  <si>
    <t>akash.agrawal709@gmail.com</t>
  </si>
  <si>
    <t>LD20260414</t>
  </si>
  <si>
    <t>pooja.borkar422@gmail.com</t>
  </si>
  <si>
    <t>LD20260415</t>
  </si>
  <si>
    <t>Ananya Agrawal</t>
  </si>
  <si>
    <t>ananya.agrawal144@gmail.com</t>
  </si>
  <si>
    <t>LD20260416</t>
  </si>
  <si>
    <t>Vivaan Kulkarni</t>
  </si>
  <si>
    <t>vivaan.kulkarni539@gmail.com</t>
  </si>
  <si>
    <t>LD20260417</t>
  </si>
  <si>
    <t>aditya.mishra735@gmail.com</t>
  </si>
  <si>
    <t>LD20260418</t>
  </si>
  <si>
    <t>vivaan.jain478@gmail.com</t>
  </si>
  <si>
    <t>LD20260419</t>
  </si>
  <si>
    <t>nikhil.mishra969@gmail.com</t>
  </si>
  <si>
    <t>LD20260420</t>
  </si>
  <si>
    <t>neha.borkar505@gmail.com</t>
  </si>
  <si>
    <t>LD20260421</t>
  </si>
  <si>
    <t>neha.mishra689@gmail.com</t>
  </si>
  <si>
    <t>LD20260422</t>
  </si>
  <si>
    <t>Akash Sharma</t>
  </si>
  <si>
    <t>akash.sharma974@gmail.com</t>
  </si>
  <si>
    <t>LD20260423</t>
  </si>
  <si>
    <t>nikhil.gupta86@gmail.com</t>
  </si>
  <si>
    <t>LD20260424</t>
  </si>
  <si>
    <t>rahul.jain911@gmail.com</t>
  </si>
  <si>
    <t>LD20260425</t>
  </si>
  <si>
    <t>ishita.patil919@gmail.com</t>
  </si>
  <si>
    <t>LD20260426</t>
  </si>
  <si>
    <t>akash.borkar916@gmail.com</t>
  </si>
  <si>
    <t>LD20260427</t>
  </si>
  <si>
    <t>ishita.singh10@gmail.com</t>
  </si>
  <si>
    <t>LD20260428</t>
  </si>
  <si>
    <t>arjun.singh753@gmail.com</t>
  </si>
  <si>
    <t>LD20260429</t>
  </si>
  <si>
    <t>aman.yadav340@gmail.com</t>
  </si>
  <si>
    <t>LD20260430</t>
  </si>
  <si>
    <t>vikas.kulkarni373@gmail.com</t>
  </si>
  <si>
    <t>LD20260431</t>
  </si>
  <si>
    <t>rohan.jain622@gmail.com</t>
  </si>
  <si>
    <t>LD20260432</t>
  </si>
  <si>
    <t>yash.borkar591@gmail.com</t>
  </si>
  <si>
    <t>LD20260433</t>
  </si>
  <si>
    <t>Sneha Agrawal</t>
  </si>
  <si>
    <t>sneha.agrawal558@gmail.com</t>
  </si>
  <si>
    <t>LD20260434</t>
  </si>
  <si>
    <t>vikas.jain369@gmail.com</t>
  </si>
  <si>
    <t>LD20260435</t>
  </si>
  <si>
    <t>karan.singh827@gmail.com</t>
  </si>
  <si>
    <t>LD20260436</t>
  </si>
  <si>
    <t>ishita.agrawal991@gmail.com</t>
  </si>
  <si>
    <t>LD20260437</t>
  </si>
  <si>
    <t>Ishita Verma</t>
  </si>
  <si>
    <t>ishita.verma698@gmail.com</t>
  </si>
  <si>
    <t>LD20260438</t>
  </si>
  <si>
    <t>akash.kulkarni514@gmail.com</t>
  </si>
  <si>
    <t>LD20260439</t>
  </si>
  <si>
    <t>vikas.mishra573@gmail.com</t>
  </si>
  <si>
    <t>LD20260440</t>
  </si>
  <si>
    <t>Arjun Joshi</t>
  </si>
  <si>
    <t>arjun.joshi461@gmail.com</t>
  </si>
  <si>
    <t>LD20260441</t>
  </si>
  <si>
    <t>neha.borkar72@gmail.com</t>
  </si>
  <si>
    <t>LD20260442</t>
  </si>
  <si>
    <t>Arjun Agrawal</t>
  </si>
  <si>
    <t>arjun.agrawal414@gmail.com</t>
  </si>
  <si>
    <t>LD20260443</t>
  </si>
  <si>
    <t>rohan.singh754@gmail.com</t>
  </si>
  <si>
    <t>LD20260444</t>
  </si>
  <si>
    <t>Aditi Verma</t>
  </si>
  <si>
    <t>aditi.verma515@gmail.com</t>
  </si>
  <si>
    <t>LD20260445</t>
  </si>
  <si>
    <t>priya.agrawal866@gmail.com</t>
  </si>
  <si>
    <t>LD20260446</t>
  </si>
  <si>
    <t>ishita.borkar295@gmail.com</t>
  </si>
  <si>
    <t>LD20260447</t>
  </si>
  <si>
    <t>priya.yadav219@gmail.com</t>
  </si>
  <si>
    <t>LD20260448</t>
  </si>
  <si>
    <t>aman.verma125@gmail.com</t>
  </si>
  <si>
    <t>LD20260449</t>
  </si>
  <si>
    <t>vivaan.kulkarni605@gmail.com</t>
  </si>
  <si>
    <t>LD20260450</t>
  </si>
  <si>
    <t>sneha.mishra959@gmail.com</t>
  </si>
  <si>
    <t>LD20260451</t>
  </si>
  <si>
    <t>sneha.patil998@gmail.com</t>
  </si>
  <si>
    <t>LD20260452</t>
  </si>
  <si>
    <t>priya.deshmukh384@gmail.com</t>
  </si>
  <si>
    <t>LD20260453</t>
  </si>
  <si>
    <t>Yash Deshmukh</t>
  </si>
  <si>
    <t>yash.deshmukh232@gmail.com</t>
  </si>
  <si>
    <t>LD20260454</t>
  </si>
  <si>
    <t>yash.patel442@gmail.com</t>
  </si>
  <si>
    <t>LD20260455</t>
  </si>
  <si>
    <t>rahul.joshi778@gmail.com</t>
  </si>
  <si>
    <t>LD20260456</t>
  </si>
  <si>
    <t>Priya Gupta</t>
  </si>
  <si>
    <t>priya.gupta574@gmail.com</t>
  </si>
  <si>
    <t>LD20260457</t>
  </si>
  <si>
    <t>nikhil.joshi572@gmail.com</t>
  </si>
  <si>
    <t>LD20260458</t>
  </si>
  <si>
    <t>vivaan.jain180@gmail.com</t>
  </si>
  <si>
    <t>LD20260459</t>
  </si>
  <si>
    <t>ananya.agrawal906@gmail.com</t>
  </si>
  <si>
    <t>LD20260460</t>
  </si>
  <si>
    <t>arjun.singh577@gmail.com</t>
  </si>
  <si>
    <t>LD20260461</t>
  </si>
  <si>
    <t>priya.patil532@gmail.com</t>
  </si>
  <si>
    <t>LD20260462</t>
  </si>
  <si>
    <t>yash.singh389@gmail.com</t>
  </si>
  <si>
    <t>LD20260463</t>
  </si>
  <si>
    <t>nikhil.borkar73@gmail.com</t>
  </si>
  <si>
    <t>LD20260464</t>
  </si>
  <si>
    <t>Aarav Gupta</t>
  </si>
  <si>
    <t>aarav.gupta210@gmail.com</t>
  </si>
  <si>
    <t>LD20260465</t>
  </si>
  <si>
    <t>yash.yadav943@gmail.com</t>
  </si>
  <si>
    <t>LD20260466</t>
  </si>
  <si>
    <t>vikas.jain902@gmail.com</t>
  </si>
  <si>
    <t>LD20260467</t>
  </si>
  <si>
    <t>Neha Sharma</t>
  </si>
  <si>
    <t>neha.sharma402@gmail.com</t>
  </si>
  <si>
    <t>LD20260468</t>
  </si>
  <si>
    <t>vivaan.kulkarni50@gmail.com</t>
  </si>
  <si>
    <t>LD20260469</t>
  </si>
  <si>
    <t>Rohan Kulkarni</t>
  </si>
  <si>
    <t>rohan.kulkarni19@gmail.com</t>
  </si>
  <si>
    <t>LD20260470</t>
  </si>
  <si>
    <t>pooja.verma523@gmail.com</t>
  </si>
  <si>
    <t>LD20260471</t>
  </si>
  <si>
    <t>Akash Yadav</t>
  </si>
  <si>
    <t>akash.yadav811@gmail.com</t>
  </si>
  <si>
    <t>LD20260472</t>
  </si>
  <si>
    <t>nikhil.jain214@gmail.com</t>
  </si>
  <si>
    <t>LD20260473</t>
  </si>
  <si>
    <t>aditi.verma628@gmail.com</t>
  </si>
  <si>
    <t>LD20260474</t>
  </si>
  <si>
    <t>arjun.verma377@gmail.com</t>
  </si>
  <si>
    <t>LD20260475</t>
  </si>
  <si>
    <t>karan.sharma81@gmail.com</t>
  </si>
  <si>
    <t>LD20260476</t>
  </si>
  <si>
    <t>akash.yadav665@gmail.com</t>
  </si>
  <si>
    <t>LD20260477</t>
  </si>
  <si>
    <t>Aditi Agrawal</t>
  </si>
  <si>
    <t>aditi.agrawal900@gmail.com</t>
  </si>
  <si>
    <t>LD20260478</t>
  </si>
  <si>
    <t>sneha.patil357@gmail.com</t>
  </si>
  <si>
    <t>LD20260479</t>
  </si>
  <si>
    <t>akash.patil772@gmail.com</t>
  </si>
  <si>
    <t>LD20260480</t>
  </si>
  <si>
    <t>nikhil.borkar366@gmail.com</t>
  </si>
  <si>
    <t>LD20260481</t>
  </si>
  <si>
    <t>vivaan.patil872@gmail.com</t>
  </si>
  <si>
    <t>LD20260482</t>
  </si>
  <si>
    <t>Rahul Gupta</t>
  </si>
  <si>
    <t>rahul.gupta544@gmail.com</t>
  </si>
  <si>
    <t>LD20260483</t>
  </si>
  <si>
    <t>Karan Gupta</t>
  </si>
  <si>
    <t>karan.gupta295@gmail.com</t>
  </si>
  <si>
    <t>LD20260484</t>
  </si>
  <si>
    <t>sneha.agrawal401@gmail.com</t>
  </si>
  <si>
    <t>LD20260485</t>
  </si>
  <si>
    <t>yash.patel672@gmail.com</t>
  </si>
  <si>
    <t>LD20260486</t>
  </si>
  <si>
    <t>nikhil.sharma76@gmail.com</t>
  </si>
  <si>
    <t>LD20260487</t>
  </si>
  <si>
    <t>Sakshi Patel</t>
  </si>
  <si>
    <t>sakshi.patel922@gmail.com</t>
  </si>
  <si>
    <t>LD20260488</t>
  </si>
  <si>
    <t>Sakshi Mehta</t>
  </si>
  <si>
    <t>sakshi.mehta331@gmail.com</t>
  </si>
  <si>
    <t>LD20260489</t>
  </si>
  <si>
    <t>priya.yadav11@gmail.com</t>
  </si>
  <si>
    <t>LD20260490</t>
  </si>
  <si>
    <t>rahul.sharma148@gmail.com</t>
  </si>
  <si>
    <t>LD20260491</t>
  </si>
  <si>
    <t>vivaan.verma303@gmail.com</t>
  </si>
  <si>
    <t>LD20260492</t>
  </si>
  <si>
    <t>ananya.agrawal755@gmail.com</t>
  </si>
  <si>
    <t>LD20260493</t>
  </si>
  <si>
    <t>sneha.agrawal390@gmail.com</t>
  </si>
  <si>
    <t>LD20260494</t>
  </si>
  <si>
    <t>priya.patil8@gmail.com</t>
  </si>
  <si>
    <t>LD20260495</t>
  </si>
  <si>
    <t>vikas.kulkarni500@gmail.com</t>
  </si>
  <si>
    <t>LD20260496</t>
  </si>
  <si>
    <t>vikas.kulkarni946@gmail.com</t>
  </si>
  <si>
    <t>LD20260497</t>
  </si>
  <si>
    <t>ananya.kulkarni481@gmail.com</t>
  </si>
  <si>
    <t>LD20260498</t>
  </si>
  <si>
    <t>yash.yadav892@gmail.com</t>
  </si>
  <si>
    <t>LD20260499</t>
  </si>
  <si>
    <t>Aman Patil</t>
  </si>
  <si>
    <t>aman.patil324@gmail.com</t>
  </si>
  <si>
    <t>LD20260500</t>
  </si>
  <si>
    <t>aditya.agrawal464@gmail.com</t>
  </si>
  <si>
    <t>Month</t>
  </si>
  <si>
    <t>Count of Lead_ID</t>
  </si>
  <si>
    <t>Total Leads</t>
  </si>
  <si>
    <t>Row Labels</t>
  </si>
  <si>
    <t>Grand Total</t>
  </si>
  <si>
    <t>Lead Age</t>
  </si>
  <si>
    <t>Revenue Category</t>
  </si>
  <si>
    <t>Sum of Potential_Value</t>
  </si>
  <si>
    <t>Average of Lead Age</t>
  </si>
  <si>
    <t>Conversion Rate</t>
  </si>
  <si>
    <t>Count of Lead_Source</t>
  </si>
  <si>
    <t>Count of Status</t>
  </si>
  <si>
    <t>January</t>
  </si>
  <si>
    <t>February</t>
  </si>
  <si>
    <t>March</t>
  </si>
  <si>
    <t>April</t>
  </si>
  <si>
    <t>May</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</si>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</sst>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0" fontId="16" fillId="0" borderId="0" xfId="0" applyFont="1" applyAlignment="1">
      <alignment horizontal="left"/>
    </xf>
    <xf numFmtId="10" fontId="0" fillId="0" borderId="0" xfId="0" applyNumberFormat="1"/>
    <xf numFmtId="164" fontId="0" fillId="0" borderId="0" xfId="0" applyNumberFormat="1"/>
    <xf numFmtId="164" fontId="16" fillId="0" borderId="0" xfId="0" applyNumberFormat="1" applyFont="1"/>
    <xf numFmtId="165" fontId="16" fillId="0" borderId="0" xfId="0" applyNumberFormat="1" applyFont="1"/>
    <xf numFmtId="10"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quot;₹&quot;\ #,##0"/>
    </dxf>
    <dxf>
      <numFmt numFmtId="0" formatCode="General"/>
    </dxf>
    <dxf>
      <numFmt numFmtId="0" formatCode="General"/>
    </dxf>
    <dxf>
      <numFmt numFmtId="164" formatCode="&quot;₹&quot;\ #,##0"/>
    </dxf>
    <dxf>
      <numFmt numFmtId="0" formatCode="General"/>
    </dxf>
    <dxf>
      <numFmt numFmtId="164" formatCode="&quot;₹&quot;\ #,##0"/>
    </dxf>
    <dxf>
      <numFmt numFmtId="164" formatCode="&quot;₹&quot;\ #,##0"/>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a:t>
            </a:r>
            <a:r>
              <a:rPr lang="en-US" baseline="0"/>
              <a:t> BY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Pivot!$A$2:$A$9</c:f>
              <c:strCache>
                <c:ptCount val="7"/>
                <c:pt idx="0">
                  <c:v>Facebook Ads</c:v>
                </c:pt>
                <c:pt idx="1">
                  <c:v>Google Ads</c:v>
                </c:pt>
                <c:pt idx="2">
                  <c:v>Instagram</c:v>
                </c:pt>
                <c:pt idx="3">
                  <c:v>Justdial</c:v>
                </c:pt>
                <c:pt idx="4">
                  <c:v>LinkedIn</c:v>
                </c:pt>
                <c:pt idx="5">
                  <c:v>Referral</c:v>
                </c:pt>
                <c:pt idx="6">
                  <c:v>Website</c:v>
                </c:pt>
              </c:strCache>
            </c:strRef>
          </c:cat>
          <c:val>
            <c:numRef>
              <c:f>Pivot!$B$2:$B$9</c:f>
              <c:numCache>
                <c:formatCode>General</c:formatCode>
                <c:ptCount val="7"/>
                <c:pt idx="0">
                  <c:v>74</c:v>
                </c:pt>
                <c:pt idx="1">
                  <c:v>71</c:v>
                </c:pt>
                <c:pt idx="2">
                  <c:v>68</c:v>
                </c:pt>
                <c:pt idx="3">
                  <c:v>65</c:v>
                </c:pt>
                <c:pt idx="4">
                  <c:v>78</c:v>
                </c:pt>
                <c:pt idx="5">
                  <c:v>67</c:v>
                </c:pt>
                <c:pt idx="6">
                  <c:v>77</c:v>
                </c:pt>
              </c:numCache>
            </c:numRef>
          </c:val>
          <c:extLst>
            <c:ext xmlns:c16="http://schemas.microsoft.com/office/drawing/2014/chart" uri="{C3380CC4-5D6E-409C-BE32-E72D297353CC}">
              <c16:uniqueId val="{00000000-3FDD-4811-BED8-1A1288389560}"/>
            </c:ext>
          </c:extLst>
        </c:ser>
        <c:dLbls>
          <c:dLblPos val="outEnd"/>
          <c:showLegendKey val="0"/>
          <c:showVal val="1"/>
          <c:showCatName val="0"/>
          <c:showSerName val="0"/>
          <c:showPercent val="0"/>
          <c:showBubbleSize val="0"/>
        </c:dLbls>
        <c:gapWidth val="219"/>
        <c:overlap val="-27"/>
        <c:axId val="734126527"/>
        <c:axId val="485310655"/>
      </c:barChart>
      <c:catAx>
        <c:axId val="7341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10655"/>
        <c:crosses val="autoZero"/>
        <c:auto val="1"/>
        <c:lblAlgn val="ctr"/>
        <c:lblOffset val="100"/>
        <c:noMultiLvlLbl val="0"/>
      </c:catAx>
      <c:valAx>
        <c:axId val="48531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a:t>
            </a:r>
            <a:r>
              <a:rPr lang="en-US" baseline="0"/>
              <a:t>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4C3-4E05-9AC0-0555A4E7751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4C3-4E05-9AC0-0555A4E7751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4C3-4E05-9AC0-0555A4E7751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4C3-4E05-9AC0-0555A4E7751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4C3-4E05-9AC0-0555A4E7751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4C3-4E05-9AC0-0555A4E775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Pivot!$A$13:$A$19</c:f>
              <c:strCache>
                <c:ptCount val="6"/>
                <c:pt idx="0">
                  <c:v>Contacted</c:v>
                </c:pt>
                <c:pt idx="1">
                  <c:v>Converted</c:v>
                </c:pt>
                <c:pt idx="2">
                  <c:v>Follow-Up</c:v>
                </c:pt>
                <c:pt idx="3">
                  <c:v>Lost</c:v>
                </c:pt>
                <c:pt idx="4">
                  <c:v>New</c:v>
                </c:pt>
                <c:pt idx="5">
                  <c:v>Qualified</c:v>
                </c:pt>
              </c:strCache>
            </c:strRef>
          </c:cat>
          <c:val>
            <c:numRef>
              <c:f>Pivot!$B$13:$B$19</c:f>
              <c:numCache>
                <c:formatCode>0.00%</c:formatCode>
                <c:ptCount val="6"/>
                <c:pt idx="0">
                  <c:v>0.19</c:v>
                </c:pt>
                <c:pt idx="1">
                  <c:v>0.16800000000000001</c:v>
                </c:pt>
                <c:pt idx="2">
                  <c:v>0.16400000000000001</c:v>
                </c:pt>
                <c:pt idx="3">
                  <c:v>0.156</c:v>
                </c:pt>
                <c:pt idx="4">
                  <c:v>0.156</c:v>
                </c:pt>
                <c:pt idx="5">
                  <c:v>0.16600000000000001</c:v>
                </c:pt>
              </c:numCache>
            </c:numRef>
          </c:val>
          <c:extLst>
            <c:ext xmlns:c16="http://schemas.microsoft.com/office/drawing/2014/chart" uri="{C3380CC4-5D6E-409C-BE32-E72D297353CC}">
              <c16:uniqueId val="{00000000-4479-4480-8C1B-7A1C5E54481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Lead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Pivot!$A$25:$A$31</c:f>
              <c:strCache>
                <c:ptCount val="6"/>
                <c:pt idx="0">
                  <c:v>January</c:v>
                </c:pt>
                <c:pt idx="1">
                  <c:v>February</c:v>
                </c:pt>
                <c:pt idx="2">
                  <c:v>March</c:v>
                </c:pt>
                <c:pt idx="3">
                  <c:v>April</c:v>
                </c:pt>
                <c:pt idx="4">
                  <c:v>May</c:v>
                </c:pt>
                <c:pt idx="5">
                  <c:v>June</c:v>
                </c:pt>
              </c:strCache>
            </c:strRef>
          </c:cat>
          <c:val>
            <c:numRef>
              <c:f>Pivot!$B$25:$B$31</c:f>
              <c:numCache>
                <c:formatCode>General</c:formatCode>
                <c:ptCount val="6"/>
                <c:pt idx="0">
                  <c:v>87</c:v>
                </c:pt>
                <c:pt idx="1">
                  <c:v>76</c:v>
                </c:pt>
                <c:pt idx="2">
                  <c:v>79</c:v>
                </c:pt>
                <c:pt idx="3">
                  <c:v>92</c:v>
                </c:pt>
                <c:pt idx="4">
                  <c:v>92</c:v>
                </c:pt>
                <c:pt idx="5">
                  <c:v>74</c:v>
                </c:pt>
              </c:numCache>
            </c:numRef>
          </c:val>
          <c:smooth val="0"/>
          <c:extLst>
            <c:ext xmlns:c16="http://schemas.microsoft.com/office/drawing/2014/chart" uri="{C3380CC4-5D6E-409C-BE32-E72D297353CC}">
              <c16:uniqueId val="{00000000-CD9C-4A79-99B1-FB1CF6AAFDC2}"/>
            </c:ext>
          </c:extLst>
        </c:ser>
        <c:dLbls>
          <c:dLblPos val="t"/>
          <c:showLegendKey val="0"/>
          <c:showVal val="1"/>
          <c:showCatName val="0"/>
          <c:showSerName val="0"/>
          <c:showPercent val="0"/>
          <c:showBubbleSize val="0"/>
        </c:dLbls>
        <c:marker val="1"/>
        <c:smooth val="0"/>
        <c:axId val="931258911"/>
        <c:axId val="931249311"/>
      </c:lineChart>
      <c:catAx>
        <c:axId val="93125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49311"/>
        <c:crosses val="autoZero"/>
        <c:auto val="1"/>
        <c:lblAlgn val="ctr"/>
        <c:lblOffset val="100"/>
        <c:noMultiLvlLbl val="0"/>
      </c:catAx>
      <c:valAx>
        <c:axId val="93124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5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Pivot!$A$37:$A$47</c:f>
              <c:strCache>
                <c:ptCount val="10"/>
                <c:pt idx="0">
                  <c:v>Ahmedabad</c:v>
                </c:pt>
                <c:pt idx="1">
                  <c:v>Bangalore</c:v>
                </c:pt>
                <c:pt idx="2">
                  <c:v>Chennai</c:v>
                </c:pt>
                <c:pt idx="3">
                  <c:v>Delhi</c:v>
                </c:pt>
                <c:pt idx="4">
                  <c:v>Hyderabad</c:v>
                </c:pt>
                <c:pt idx="5">
                  <c:v>Indore</c:v>
                </c:pt>
                <c:pt idx="6">
                  <c:v>Jaipur</c:v>
                </c:pt>
                <c:pt idx="7">
                  <c:v>Mumbai</c:v>
                </c:pt>
                <c:pt idx="8">
                  <c:v>Nagpur</c:v>
                </c:pt>
                <c:pt idx="9">
                  <c:v>Pune</c:v>
                </c:pt>
              </c:strCache>
            </c:strRef>
          </c:cat>
          <c:val>
            <c:numRef>
              <c:f>Pivot!$B$37:$B$47</c:f>
              <c:numCache>
                <c:formatCode>General</c:formatCode>
                <c:ptCount val="10"/>
                <c:pt idx="0">
                  <c:v>40</c:v>
                </c:pt>
                <c:pt idx="1">
                  <c:v>53</c:v>
                </c:pt>
                <c:pt idx="2">
                  <c:v>53</c:v>
                </c:pt>
                <c:pt idx="3">
                  <c:v>62</c:v>
                </c:pt>
                <c:pt idx="4">
                  <c:v>56</c:v>
                </c:pt>
                <c:pt idx="5">
                  <c:v>44</c:v>
                </c:pt>
                <c:pt idx="6">
                  <c:v>43</c:v>
                </c:pt>
                <c:pt idx="7">
                  <c:v>46</c:v>
                </c:pt>
                <c:pt idx="8">
                  <c:v>56</c:v>
                </c:pt>
                <c:pt idx="9">
                  <c:v>47</c:v>
                </c:pt>
              </c:numCache>
            </c:numRef>
          </c:val>
          <c:extLst>
            <c:ext xmlns:c16="http://schemas.microsoft.com/office/drawing/2014/chart" uri="{C3380CC4-5D6E-409C-BE32-E72D297353CC}">
              <c16:uniqueId val="{00000000-A86A-4028-9416-9E37C8E587D4}"/>
            </c:ext>
          </c:extLst>
        </c:ser>
        <c:dLbls>
          <c:dLblPos val="outEnd"/>
          <c:showLegendKey val="0"/>
          <c:showVal val="1"/>
          <c:showCatName val="0"/>
          <c:showSerName val="0"/>
          <c:showPercent val="0"/>
          <c:showBubbleSize val="0"/>
        </c:dLbls>
        <c:gapWidth val="219"/>
        <c:overlap val="-27"/>
        <c:axId val="931267551"/>
        <c:axId val="931248831"/>
      </c:barChart>
      <c:catAx>
        <c:axId val="93126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48831"/>
        <c:crosses val="autoZero"/>
        <c:auto val="1"/>
        <c:lblAlgn val="ctr"/>
        <c:lblOffset val="100"/>
        <c:noMultiLvlLbl val="0"/>
      </c:catAx>
      <c:valAx>
        <c:axId val="931248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6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a:t>
            </a:r>
            <a:r>
              <a:rPr lang="en-US" baseline="0"/>
              <a:t> BY PRODUCT INTEREST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c:f>
              <c:strCache>
                <c:ptCount val="1"/>
                <c:pt idx="0">
                  <c:v>Total</c:v>
                </c:pt>
              </c:strCache>
            </c:strRef>
          </c:tx>
          <c:spPr>
            <a:solidFill>
              <a:schemeClr val="accent1"/>
            </a:solidFill>
            <a:ln>
              <a:noFill/>
            </a:ln>
            <a:effectLst/>
          </c:spPr>
          <c:invertIfNegative val="0"/>
          <c:cat>
            <c:strRef>
              <c:f>Pivot!$A$51:$A$56</c:f>
              <c:strCache>
                <c:ptCount val="5"/>
                <c:pt idx="0">
                  <c:v>Advanced Excel Course</c:v>
                </c:pt>
                <c:pt idx="1">
                  <c:v>CRM Software</c:v>
                </c:pt>
                <c:pt idx="2">
                  <c:v>Digital Marketing Course</c:v>
                </c:pt>
                <c:pt idx="3">
                  <c:v>ERP Solution</c:v>
                </c:pt>
                <c:pt idx="4">
                  <c:v>Online MBA</c:v>
                </c:pt>
              </c:strCache>
            </c:strRef>
          </c:cat>
          <c:val>
            <c:numRef>
              <c:f>Pivot!$B$51:$B$56</c:f>
              <c:numCache>
                <c:formatCode>General</c:formatCode>
                <c:ptCount val="5"/>
                <c:pt idx="0">
                  <c:v>90</c:v>
                </c:pt>
                <c:pt idx="1">
                  <c:v>113</c:v>
                </c:pt>
                <c:pt idx="2">
                  <c:v>101</c:v>
                </c:pt>
                <c:pt idx="3">
                  <c:v>96</c:v>
                </c:pt>
                <c:pt idx="4">
                  <c:v>100</c:v>
                </c:pt>
              </c:numCache>
            </c:numRef>
          </c:val>
          <c:extLst>
            <c:ext xmlns:c16="http://schemas.microsoft.com/office/drawing/2014/chart" uri="{C3380CC4-5D6E-409C-BE32-E72D297353CC}">
              <c16:uniqueId val="{00000000-6CFB-416A-ACE2-DC51A5544C7F}"/>
            </c:ext>
          </c:extLst>
        </c:ser>
        <c:dLbls>
          <c:showLegendKey val="0"/>
          <c:showVal val="0"/>
          <c:showCatName val="0"/>
          <c:showSerName val="0"/>
          <c:showPercent val="0"/>
          <c:showBubbleSize val="0"/>
        </c:dLbls>
        <c:gapWidth val="219"/>
        <c:overlap val="-27"/>
        <c:axId val="931293471"/>
        <c:axId val="931297791"/>
      </c:barChart>
      <c:catAx>
        <c:axId val="93129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97791"/>
        <c:crosses val="autoZero"/>
        <c:auto val="1"/>
        <c:lblAlgn val="ctr"/>
        <c:lblOffset val="100"/>
        <c:noMultiLvlLbl val="0"/>
      </c:catAx>
      <c:valAx>
        <c:axId val="93129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POTENTIAL</a:t>
            </a:r>
            <a:r>
              <a:rPr lang="en-US" baseline="0"/>
              <a:t> REVENUE BY PRODUCT (INR)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Pivot!$A$63:$A$68</c:f>
              <c:strCache>
                <c:ptCount val="5"/>
                <c:pt idx="0">
                  <c:v>Advanced Excel Course</c:v>
                </c:pt>
                <c:pt idx="1">
                  <c:v>CRM Software</c:v>
                </c:pt>
                <c:pt idx="2">
                  <c:v>Digital Marketing Course</c:v>
                </c:pt>
                <c:pt idx="3">
                  <c:v>ERP Solution</c:v>
                </c:pt>
                <c:pt idx="4">
                  <c:v>Online MBA</c:v>
                </c:pt>
              </c:strCache>
            </c:strRef>
          </c:cat>
          <c:val>
            <c:numRef>
              <c:f>Pivot!$B$63:$B$68</c:f>
              <c:numCache>
                <c:formatCode>"₹"\ #,##0</c:formatCode>
                <c:ptCount val="5"/>
                <c:pt idx="0">
                  <c:v>12253240</c:v>
                </c:pt>
                <c:pt idx="1">
                  <c:v>14134761</c:v>
                </c:pt>
                <c:pt idx="2">
                  <c:v>13017769</c:v>
                </c:pt>
                <c:pt idx="3">
                  <c:v>12909442</c:v>
                </c:pt>
                <c:pt idx="4">
                  <c:v>11831778</c:v>
                </c:pt>
              </c:numCache>
            </c:numRef>
          </c:val>
          <c:extLst>
            <c:ext xmlns:c16="http://schemas.microsoft.com/office/drawing/2014/chart" uri="{C3380CC4-5D6E-409C-BE32-E72D297353CC}">
              <c16:uniqueId val="{00000000-F7A8-418F-8A65-0655CA476005}"/>
            </c:ext>
          </c:extLst>
        </c:ser>
        <c:dLbls>
          <c:dLblPos val="outEnd"/>
          <c:showLegendKey val="0"/>
          <c:showVal val="1"/>
          <c:showCatName val="0"/>
          <c:showSerName val="0"/>
          <c:showPercent val="0"/>
          <c:showBubbleSize val="0"/>
        </c:dLbls>
        <c:gapWidth val="219"/>
        <c:overlap val="-27"/>
        <c:axId val="931280511"/>
        <c:axId val="931302591"/>
      </c:barChart>
      <c:catAx>
        <c:axId val="93128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02591"/>
        <c:crosses val="autoZero"/>
        <c:auto val="1"/>
        <c:lblAlgn val="ctr"/>
        <c:lblOffset val="100"/>
        <c:noMultiLvlLbl val="0"/>
      </c:catAx>
      <c:valAx>
        <c:axId val="93130259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8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LEADS</a:t>
            </a:r>
            <a:r>
              <a:rPr lang="en-US" b="1" baseline="0"/>
              <a:t> BY SOURCE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Pivot!$A$2:$A$9</c:f>
              <c:strCache>
                <c:ptCount val="7"/>
                <c:pt idx="0">
                  <c:v>Facebook Ads</c:v>
                </c:pt>
                <c:pt idx="1">
                  <c:v>Google Ads</c:v>
                </c:pt>
                <c:pt idx="2">
                  <c:v>Instagram</c:v>
                </c:pt>
                <c:pt idx="3">
                  <c:v>Justdial</c:v>
                </c:pt>
                <c:pt idx="4">
                  <c:v>LinkedIn</c:v>
                </c:pt>
                <c:pt idx="5">
                  <c:v>Referral</c:v>
                </c:pt>
                <c:pt idx="6">
                  <c:v>Website</c:v>
                </c:pt>
              </c:strCache>
            </c:strRef>
          </c:cat>
          <c:val>
            <c:numRef>
              <c:f>Pivot!$B$2:$B$9</c:f>
              <c:numCache>
                <c:formatCode>General</c:formatCode>
                <c:ptCount val="7"/>
                <c:pt idx="0">
                  <c:v>74</c:v>
                </c:pt>
                <c:pt idx="1">
                  <c:v>71</c:v>
                </c:pt>
                <c:pt idx="2">
                  <c:v>68</c:v>
                </c:pt>
                <c:pt idx="3">
                  <c:v>65</c:v>
                </c:pt>
                <c:pt idx="4">
                  <c:v>78</c:v>
                </c:pt>
                <c:pt idx="5">
                  <c:v>67</c:v>
                </c:pt>
                <c:pt idx="6">
                  <c:v>77</c:v>
                </c:pt>
              </c:numCache>
            </c:numRef>
          </c:val>
          <c:extLst>
            <c:ext xmlns:c16="http://schemas.microsoft.com/office/drawing/2014/chart" uri="{C3380CC4-5D6E-409C-BE32-E72D297353CC}">
              <c16:uniqueId val="{00000000-F103-4E5F-AA6A-D7C0A8D5DC61}"/>
            </c:ext>
          </c:extLst>
        </c:ser>
        <c:dLbls>
          <c:dLblPos val="outEnd"/>
          <c:showLegendKey val="0"/>
          <c:showVal val="1"/>
          <c:showCatName val="0"/>
          <c:showSerName val="0"/>
          <c:showPercent val="0"/>
          <c:showBubbleSize val="0"/>
        </c:dLbls>
        <c:gapWidth val="219"/>
        <c:overlap val="-27"/>
        <c:axId val="734126527"/>
        <c:axId val="485310655"/>
      </c:barChart>
      <c:catAx>
        <c:axId val="7341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10655"/>
        <c:crosses val="autoZero"/>
        <c:auto val="1"/>
        <c:lblAlgn val="ctr"/>
        <c:lblOffset val="100"/>
        <c:noMultiLvlLbl val="0"/>
      </c:catAx>
      <c:valAx>
        <c:axId val="48531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[BDA_Lead_Report.xlsx]Pivot!PivotTable8</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LEAD</a:t>
            </a:r>
            <a:r>
              <a:rPr lang="en-US" b="1" baseline="0"/>
              <a:t> STATUS DISTRIBUTION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EA-44AA-A4F3-021553CD3B9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EA-44AA-A4F3-021553CD3B9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CEA-44AA-A4F3-021553CD3B9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CEA-44AA-A4F3-021553CD3B9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CEA-44AA-A4F3-021553CD3B9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CEA-44AA-A4F3-021553CD3B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Pivot!$A$13:$A$19</c:f>
              <c:strCache>
                <c:ptCount val="6"/>
                <c:pt idx="0">
                  <c:v>Contacted</c:v>
                </c:pt>
                <c:pt idx="1">
                  <c:v>Converted</c:v>
                </c:pt>
                <c:pt idx="2">
                  <c:v>Follow-Up</c:v>
                </c:pt>
                <c:pt idx="3">
                  <c:v>Lost</c:v>
                </c:pt>
                <c:pt idx="4">
                  <c:v>New</c:v>
                </c:pt>
                <c:pt idx="5">
                  <c:v>Qualified</c:v>
                </c:pt>
              </c:strCache>
            </c:strRef>
          </c:cat>
          <c:val>
            <c:numRef>
              <c:f>Pivot!$B$13:$B$19</c:f>
              <c:numCache>
                <c:formatCode>0.00%</c:formatCode>
                <c:ptCount val="6"/>
                <c:pt idx="0">
                  <c:v>0.19</c:v>
                </c:pt>
                <c:pt idx="1">
                  <c:v>0.16800000000000001</c:v>
                </c:pt>
                <c:pt idx="2">
                  <c:v>0.16400000000000001</c:v>
                </c:pt>
                <c:pt idx="3">
                  <c:v>0.156</c:v>
                </c:pt>
                <c:pt idx="4">
                  <c:v>0.156</c:v>
                </c:pt>
                <c:pt idx="5">
                  <c:v>0.16600000000000001</c:v>
                </c:pt>
              </c:numCache>
            </c:numRef>
          </c:val>
          <c:extLst>
            <c:ext xmlns:c16="http://schemas.microsoft.com/office/drawing/2014/chart" uri="{C3380CC4-5D6E-409C-BE32-E72D297353CC}">
              <c16:uniqueId val="{0000000C-7CEA-44AA-A4F3-021553CD3B9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[BDA_Lead_Report.xlsx]Pivot!PivotTable9</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Lead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Pivot!$A$25:$A$31</c:f>
              <c:strCache>
                <c:ptCount val="6"/>
                <c:pt idx="0">
                  <c:v>January</c:v>
                </c:pt>
                <c:pt idx="1">
                  <c:v>February</c:v>
                </c:pt>
                <c:pt idx="2">
                  <c:v>March</c:v>
                </c:pt>
                <c:pt idx="3">
                  <c:v>April</c:v>
                </c:pt>
                <c:pt idx="4">
                  <c:v>May</c:v>
                </c:pt>
                <c:pt idx="5">
                  <c:v>June</c:v>
                </c:pt>
              </c:strCache>
            </c:strRef>
          </c:cat>
          <c:val>
            <c:numRef>
              <c:f>Pivot!$B$25:$B$31</c:f>
              <c:numCache>
                <c:formatCode>General</c:formatCode>
                <c:ptCount val="6"/>
                <c:pt idx="0">
                  <c:v>87</c:v>
                </c:pt>
                <c:pt idx="1">
                  <c:v>76</c:v>
                </c:pt>
                <c:pt idx="2">
                  <c:v>79</c:v>
                </c:pt>
                <c:pt idx="3">
                  <c:v>92</c:v>
                </c:pt>
                <c:pt idx="4">
                  <c:v>92</c:v>
                </c:pt>
                <c:pt idx="5">
                  <c:v>74</c:v>
                </c:pt>
              </c:numCache>
            </c:numRef>
          </c:val>
          <c:smooth val="0"/>
          <c:extLst>
            <c:ext xmlns:c16="http://schemas.microsoft.com/office/drawing/2014/chart" uri="{C3380CC4-5D6E-409C-BE32-E72D297353CC}">
              <c16:uniqueId val="{00000000-3C3A-42C0-A86D-8EA47DFF1D00}"/>
            </c:ext>
          </c:extLst>
        </c:ser>
        <c:dLbls>
          <c:dLblPos val="t"/>
          <c:showLegendKey val="0"/>
          <c:showVal val="1"/>
          <c:showCatName val="0"/>
          <c:showSerName val="0"/>
          <c:showPercent val="0"/>
          <c:showBubbleSize val="0"/>
        </c:dLbls>
        <c:marker val="1"/>
        <c:smooth val="0"/>
        <c:axId val="931258911"/>
        <c:axId val="931249311"/>
      </c:lineChart>
      <c:catAx>
        <c:axId val="93125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49311"/>
        <c:crosses val="autoZero"/>
        <c:auto val="1"/>
        <c:lblAlgn val="ctr"/>
        <c:lblOffset val="100"/>
        <c:noMultiLvlLbl val="0"/>
      </c:catAx>
      <c:valAx>
        <c:axId val="93124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5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[BDA_Lead_Report.xlsx]Pivot!PivotTable10</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LEADS</a:t>
            </a:r>
            <a:r>
              <a:rPr lang="en-US" b="1" baseline="0"/>
              <a:t>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Pivot!$A$37:$A$47</c:f>
              <c:strCache>
                <c:ptCount val="10"/>
                <c:pt idx="0">
                  <c:v>Ahmedabad</c:v>
                </c:pt>
                <c:pt idx="1">
                  <c:v>Bangalore</c:v>
                </c:pt>
                <c:pt idx="2">
                  <c:v>Chennai</c:v>
                </c:pt>
                <c:pt idx="3">
                  <c:v>Delhi</c:v>
                </c:pt>
                <c:pt idx="4">
                  <c:v>Hyderabad</c:v>
                </c:pt>
                <c:pt idx="5">
                  <c:v>Indore</c:v>
                </c:pt>
                <c:pt idx="6">
                  <c:v>Jaipur</c:v>
                </c:pt>
                <c:pt idx="7">
                  <c:v>Mumbai</c:v>
                </c:pt>
                <c:pt idx="8">
                  <c:v>Nagpur</c:v>
                </c:pt>
                <c:pt idx="9">
                  <c:v>Pune</c:v>
                </c:pt>
              </c:strCache>
            </c:strRef>
          </c:cat>
          <c:val>
            <c:numRef>
              <c:f>Pivot!$B$37:$B$47</c:f>
              <c:numCache>
                <c:formatCode>General</c:formatCode>
                <c:ptCount val="10"/>
                <c:pt idx="0">
                  <c:v>40</c:v>
                </c:pt>
                <c:pt idx="1">
                  <c:v>53</c:v>
                </c:pt>
                <c:pt idx="2">
                  <c:v>53</c:v>
                </c:pt>
                <c:pt idx="3">
                  <c:v>62</c:v>
                </c:pt>
                <c:pt idx="4">
                  <c:v>56</c:v>
                </c:pt>
                <c:pt idx="5">
                  <c:v>44</c:v>
                </c:pt>
                <c:pt idx="6">
                  <c:v>43</c:v>
                </c:pt>
                <c:pt idx="7">
                  <c:v>46</c:v>
                </c:pt>
                <c:pt idx="8">
                  <c:v>56</c:v>
                </c:pt>
                <c:pt idx="9">
                  <c:v>47</c:v>
                </c:pt>
              </c:numCache>
            </c:numRef>
          </c:val>
          <c:extLst>
            <c:ext xmlns:c16="http://schemas.microsoft.com/office/drawing/2014/chart" uri="{C3380CC4-5D6E-409C-BE32-E72D297353CC}">
              <c16:uniqueId val="{00000000-D740-4640-B194-3C461CF7E551}"/>
            </c:ext>
          </c:extLst>
        </c:ser>
        <c:dLbls>
          <c:dLblPos val="outEnd"/>
          <c:showLegendKey val="0"/>
          <c:showVal val="1"/>
          <c:showCatName val="0"/>
          <c:showSerName val="0"/>
          <c:showPercent val="0"/>
          <c:showBubbleSize val="0"/>
        </c:dLbls>
        <c:gapWidth val="219"/>
        <c:overlap val="-27"/>
        <c:axId val="931267551"/>
        <c:axId val="931248831"/>
      </c:barChart>
      <c:catAx>
        <c:axId val="93126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48831"/>
        <c:crosses val="autoZero"/>
        <c:auto val="1"/>
        <c:lblAlgn val="ctr"/>
        <c:lblOffset val="100"/>
        <c:noMultiLvlLbl val="0"/>
      </c:catAx>
      <c:valAx>
        <c:axId val="931248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6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[BDA_Lead_Report.xlsx]Pivot!PivotTable11</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LEADS</a:t>
            </a:r>
            <a:r>
              <a:rPr lang="en-US" b="1" baseline="0"/>
              <a:t> BY PRODUCT INTEREST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Pivot!$A$51:$A$56</c:f>
              <c:strCache>
                <c:ptCount val="5"/>
                <c:pt idx="0">
                  <c:v>Advanced Excel Course</c:v>
                </c:pt>
                <c:pt idx="1">
                  <c:v>CRM Software</c:v>
                </c:pt>
                <c:pt idx="2">
                  <c:v>Digital Marketing Course</c:v>
                </c:pt>
                <c:pt idx="3">
                  <c:v>ERP Solution</c:v>
                </c:pt>
                <c:pt idx="4">
                  <c:v>Online MBA</c:v>
                </c:pt>
              </c:strCache>
            </c:strRef>
          </c:cat>
          <c:val>
            <c:numRef>
              <c:f>Pivot!$B$51:$B$56</c:f>
              <c:numCache>
                <c:formatCode>General</c:formatCode>
                <c:ptCount val="5"/>
                <c:pt idx="0">
                  <c:v>90</c:v>
                </c:pt>
                <c:pt idx="1">
                  <c:v>113</c:v>
                </c:pt>
                <c:pt idx="2">
                  <c:v>101</c:v>
                </c:pt>
                <c:pt idx="3">
                  <c:v>96</c:v>
                </c:pt>
                <c:pt idx="4">
                  <c:v>100</c:v>
                </c:pt>
              </c:numCache>
            </c:numRef>
          </c:val>
          <c:extLst>
            <c:ext xmlns:c16="http://schemas.microsoft.com/office/drawing/2014/chart" uri="{C3380CC4-5D6E-409C-BE32-E72D297353CC}">
              <c16:uniqueId val="{00000000-847A-4704-B939-0845E9CF1D95}"/>
            </c:ext>
          </c:extLst>
        </c:ser>
        <c:dLbls>
          <c:dLblPos val="outEnd"/>
          <c:showLegendKey val="0"/>
          <c:showVal val="1"/>
          <c:showCatName val="0"/>
          <c:showSerName val="0"/>
          <c:showPercent val="0"/>
          <c:showBubbleSize val="0"/>
        </c:dLbls>
        <c:gapWidth val="219"/>
        <c:overlap val="-27"/>
        <c:axId val="931293471"/>
        <c:axId val="931297791"/>
      </c:barChart>
      <c:catAx>
        <c:axId val="93129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97791"/>
        <c:crosses val="autoZero"/>
        <c:auto val="1"/>
        <c:lblAlgn val="ctr"/>
        <c:lblOffset val="100"/>
        <c:noMultiLvlLbl val="0"/>
      </c:catAx>
      <c:valAx>
        <c:axId val="93129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[BDA_Lead_Report.xlsx]Pivot!PivotTable12</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POTENTIAL</a:t>
            </a:r>
            <a:r>
              <a:rPr lang="en-US" b="1" baseline="0"/>
              <a:t> REVENUE BY PRODUCT (INR)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Pivot!$A$63:$A$68</c:f>
              <c:strCache>
                <c:ptCount val="5"/>
                <c:pt idx="0">
                  <c:v>Advanced Excel Course</c:v>
                </c:pt>
                <c:pt idx="1">
                  <c:v>CRM Software</c:v>
                </c:pt>
                <c:pt idx="2">
                  <c:v>Digital Marketing Course</c:v>
                </c:pt>
                <c:pt idx="3">
                  <c:v>ERP Solution</c:v>
                </c:pt>
                <c:pt idx="4">
                  <c:v>Online MBA</c:v>
                </c:pt>
              </c:strCache>
            </c:strRef>
          </c:cat>
          <c:val>
            <c:numRef>
              <c:f>Pivot!$B$63:$B$68</c:f>
              <c:numCache>
                <c:formatCode>"₹"\ #,##0</c:formatCode>
                <c:ptCount val="5"/>
                <c:pt idx="0">
                  <c:v>12253240</c:v>
                </c:pt>
                <c:pt idx="1">
                  <c:v>14134761</c:v>
                </c:pt>
                <c:pt idx="2">
                  <c:v>13017769</c:v>
                </c:pt>
                <c:pt idx="3">
                  <c:v>12909442</c:v>
                </c:pt>
                <c:pt idx="4">
                  <c:v>11831778</c:v>
                </c:pt>
              </c:numCache>
            </c:numRef>
          </c:val>
          <c:extLst>
            <c:ext xmlns:c16="http://schemas.microsoft.com/office/drawing/2014/chart" uri="{C3380CC4-5D6E-409C-BE32-E72D297353CC}">
              <c16:uniqueId val="{00000000-FD0E-43B8-ABD6-E6FA7E28F8F8}"/>
            </c:ext>
          </c:extLst>
        </c:ser>
        <c:dLbls>
          <c:dLblPos val="outEnd"/>
          <c:showLegendKey val="0"/>
          <c:showVal val="1"/>
          <c:showCatName val="0"/>
          <c:showSerName val="0"/>
          <c:showPercent val="0"/>
          <c:showBubbleSize val="0"/>
        </c:dLbls>
        <c:gapWidth val="219"/>
        <c:overlap val="-27"/>
        <c:axId val="931280511"/>
        <c:axId val="931302591"/>
      </c:barChart>
      <c:catAx>
        <c:axId val="93128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02591"/>
        <c:crosses val="autoZero"/>
        <c:auto val="1"/>
        <c:lblAlgn val="ctr"/>
        <c:lblOffset val="100"/>
        <c:noMultiLvlLbl val="0"/>
      </c:catAx>
      <c:valAx>
        <c:axId val="93130259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8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480060</xdr:colOff>
      <xdr:row>0</xdr:row>
      <xdr:rowOff>30480</xdr:rowOff>
    </xdr:from>
    <xdr:to>
      <xdr:col>10</xdr:col>
      <xdr:colOff>594360</xdr:colOff>
      <xdr:row>10</xdr:row>
      <xdr:rowOff>7620</xdr:rowOff>
    </xdr:to>
    <xdr:graphicFrame macro="">
      <xdr:nvGraphicFramePr>
        <xdr:cNvPr id="2" name="Chart 1">
          <a:extLst>
            <a:ext uri="{FF2B5EF4-FFF2-40B4-BE49-F238E27FC236}">
              <a16:creationId xmlns:a16="http://schemas.microsoft.com/office/drawing/2014/main" id="{3B6E0F50-040B-DB9D-D93A-F6C6E6881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487680</xdr:colOff>
      <xdr:row>11</xdr:row>
      <xdr:rowOff>0</xdr:rowOff>
    </xdr:from>
    <xdr:to>
      <xdr:col>10</xdr:col>
      <xdr:colOff>594360</xdr:colOff>
      <xdr:row>22</xdr:row>
      <xdr:rowOff>38100</xdr:rowOff>
    </xdr:to>
    <xdr:graphicFrame macro="">
      <xdr:nvGraphicFramePr>
        <xdr:cNvPr id="3" name="Chart 2">
          <a:extLst>
            <a:ext uri="{FF2B5EF4-FFF2-40B4-BE49-F238E27FC236}">
              <a16:creationId xmlns:a16="http://schemas.microsoft.com/office/drawing/2014/main" id="{2E2720D1-4EF8-A1B3-6A09-88EDBD631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495300</xdr:colOff>
      <xdr:row>23</xdr:row>
      <xdr:rowOff>15240</xdr:rowOff>
    </xdr:from>
    <xdr:to>
      <xdr:col>10</xdr:col>
      <xdr:colOff>594360</xdr:colOff>
      <xdr:row>33</xdr:row>
      <xdr:rowOff>129540</xdr:rowOff>
    </xdr:to>
    <xdr:graphicFrame macro="">
      <xdr:nvGraphicFramePr>
        <xdr:cNvPr id="4" name="Chart 3">
          <a:extLst>
            <a:ext uri="{FF2B5EF4-FFF2-40B4-BE49-F238E27FC236}">
              <a16:creationId xmlns:a16="http://schemas.microsoft.com/office/drawing/2014/main" id="{D836447B-4654-BE92-DF9D-59E3F2CE9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487680</xdr:colOff>
      <xdr:row>35</xdr:row>
      <xdr:rowOff>22860</xdr:rowOff>
    </xdr:from>
    <xdr:to>
      <xdr:col>10</xdr:col>
      <xdr:colOff>586740</xdr:colOff>
      <xdr:row>46</xdr:row>
      <xdr:rowOff>175260</xdr:rowOff>
    </xdr:to>
    <xdr:graphicFrame macro="">
      <xdr:nvGraphicFramePr>
        <xdr:cNvPr id="5" name="Chart 4">
          <a:extLst>
            <a:ext uri="{FF2B5EF4-FFF2-40B4-BE49-F238E27FC236}">
              <a16:creationId xmlns:a16="http://schemas.microsoft.com/office/drawing/2014/main" id="{FC0F607D-C64A-E31F-FEEE-BB3EFC3D5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502920</xdr:colOff>
      <xdr:row>49</xdr:row>
      <xdr:rowOff>22860</xdr:rowOff>
    </xdr:from>
    <xdr:to>
      <xdr:col>10</xdr:col>
      <xdr:colOff>594360</xdr:colOff>
      <xdr:row>59</xdr:row>
      <xdr:rowOff>121920</xdr:rowOff>
    </xdr:to>
    <xdr:graphicFrame macro="">
      <xdr:nvGraphicFramePr>
        <xdr:cNvPr id="6" name="Chart 5">
          <a:extLst>
            <a:ext uri="{FF2B5EF4-FFF2-40B4-BE49-F238E27FC236}">
              <a16:creationId xmlns:a16="http://schemas.microsoft.com/office/drawing/2014/main" id="{8C044414-261D-484A-ECBC-22F196860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495300</xdr:colOff>
      <xdr:row>61</xdr:row>
      <xdr:rowOff>22860</xdr:rowOff>
    </xdr:from>
    <xdr:to>
      <xdr:col>10</xdr:col>
      <xdr:colOff>586740</xdr:colOff>
      <xdr:row>72</xdr:row>
      <xdr:rowOff>45720</xdr:rowOff>
    </xdr:to>
    <xdr:graphicFrame macro="">
      <xdr:nvGraphicFramePr>
        <xdr:cNvPr id="7" name="Chart 6">
          <a:extLst>
            <a:ext uri="{FF2B5EF4-FFF2-40B4-BE49-F238E27FC236}">
              <a16:creationId xmlns:a16="http://schemas.microsoft.com/office/drawing/2014/main" id="{EB04E88F-0CC1-8564-3A38-F7A8A0BD0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396240</xdr:colOff>
      <xdr:row>0</xdr:row>
      <xdr:rowOff>0</xdr:rowOff>
    </xdr:from>
    <xdr:to>
      <xdr:col>22</xdr:col>
      <xdr:colOff>579120</xdr:colOff>
      <xdr:row>48</xdr:row>
      <xdr:rowOff>91440</xdr:rowOff>
    </xdr:to>
    <xdr:sp macro="" textlink="">
      <xdr:nvSpPr>
        <xdr:cNvPr id="2" name="Rectangle 1">
          <a:extLst>
            <a:ext uri="{FF2B5EF4-FFF2-40B4-BE49-F238E27FC236}">
              <a16:creationId xmlns:a16="http://schemas.microsoft.com/office/drawing/2014/main" id="{A0D25101-08B2-C578-35E7-66400BBA7E20}"/>
            </a:ext>
          </a:extLst>
        </xdr:cNvPr>
        <xdr:cNvSpPr/>
      </xdr:nvSpPr>
      <xdr:spPr>
        <a:xfrm>
          <a:off x="396240" y="0"/>
          <a:ext cx="13594080" cy="88696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2</xdr:row>
      <xdr:rowOff>76200</xdr:rowOff>
    </xdr:from>
    <xdr:to>
      <xdr:col>3</xdr:col>
      <xdr:colOff>304800</xdr:colOff>
      <xdr:row>6</xdr:row>
      <xdr:rowOff>83820</xdr:rowOff>
    </xdr:to>
    <xdr:sp macro="" textlink="">
      <xdr:nvSpPr>
        <xdr:cNvPr id="4" name="Rectangle 3">
          <a:extLst>
            <a:ext uri="{FF2B5EF4-FFF2-40B4-BE49-F238E27FC236}">
              <a16:creationId xmlns:a16="http://schemas.microsoft.com/office/drawing/2014/main" id="{155D2210-326C-4710-C9F4-62B727BE54D2}"/>
            </a:ext>
          </a:extLst>
        </xdr:cNvPr>
        <xdr:cNvSpPr/>
      </xdr:nvSpPr>
      <xdr:spPr>
        <a:xfrm>
          <a:off x="617220" y="441960"/>
          <a:ext cx="151638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xdr:col>
      <xdr:colOff>15240</xdr:colOff>
      <xdr:row>2</xdr:row>
      <xdr:rowOff>114300</xdr:rowOff>
    </xdr:from>
    <xdr:to>
      <xdr:col>3</xdr:col>
      <xdr:colOff>304800</xdr:colOff>
      <xdr:row>4</xdr:row>
      <xdr:rowOff>60960</xdr:rowOff>
    </xdr:to>
    <xdr:sp macro="" textlink="">
      <xdr:nvSpPr>
        <xdr:cNvPr id="6" name="TextBox 5">
          <a:extLst>
            <a:ext uri="{FF2B5EF4-FFF2-40B4-BE49-F238E27FC236}">
              <a16:creationId xmlns:a16="http://schemas.microsoft.com/office/drawing/2014/main" id="{C9D0127E-59A4-7125-87DE-50FC61538DE8}"/>
            </a:ext>
          </a:extLst>
        </xdr:cNvPr>
        <xdr:cNvSpPr txBox="1"/>
      </xdr:nvSpPr>
      <xdr:spPr>
        <a:xfrm>
          <a:off x="624840" y="480060"/>
          <a:ext cx="1508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a:t>
          </a:r>
          <a:r>
            <a:rPr lang="en-IN" sz="1400" baseline="0"/>
            <a:t> LEADS</a:t>
          </a:r>
          <a:endParaRPr lang="en-IN" sz="1400"/>
        </a:p>
      </xdr:txBody>
    </xdr:sp>
    <xdr:clientData/>
  </xdr:twoCellAnchor>
  <xdr:twoCellAnchor>
    <xdr:from>
      <xdr:col>1</xdr:col>
      <xdr:colOff>30480</xdr:colOff>
      <xdr:row>4</xdr:row>
      <xdr:rowOff>99060</xdr:rowOff>
    </xdr:from>
    <xdr:to>
      <xdr:col>3</xdr:col>
      <xdr:colOff>220980</xdr:colOff>
      <xdr:row>6</xdr:row>
      <xdr:rowOff>45720</xdr:rowOff>
    </xdr:to>
    <xdr:sp macro="" textlink="KPI_Sheet!A5">
      <xdr:nvSpPr>
        <xdr:cNvPr id="7" name="TextBox 6">
          <a:extLst>
            <a:ext uri="{FF2B5EF4-FFF2-40B4-BE49-F238E27FC236}">
              <a16:creationId xmlns:a16="http://schemas.microsoft.com/office/drawing/2014/main" id="{CC839815-E477-EDB9-4C91-57BEF22319C1}"/>
            </a:ext>
          </a:extLst>
        </xdr:cNvPr>
        <xdr:cNvSpPr txBox="1"/>
      </xdr:nvSpPr>
      <xdr:spPr>
        <a:xfrm>
          <a:off x="640080" y="830580"/>
          <a:ext cx="1409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D73308-A3F7-4EAF-892A-DE53B574D590}" type="TxLink">
            <a:rPr lang="en-US" sz="1400" b="1" i="0" u="none" strike="noStrike">
              <a:solidFill>
                <a:srgbClr val="000000"/>
              </a:solidFill>
              <a:latin typeface="Aptos Narrow"/>
            </a:rPr>
            <a:pPr algn="ctr"/>
            <a:t>500</a:t>
          </a:fld>
          <a:endParaRPr lang="en-IN" sz="1400"/>
        </a:p>
      </xdr:txBody>
    </xdr:sp>
    <xdr:clientData/>
  </xdr:twoCellAnchor>
  <xdr:twoCellAnchor>
    <xdr:from>
      <xdr:col>3</xdr:col>
      <xdr:colOff>396240</xdr:colOff>
      <xdr:row>2</xdr:row>
      <xdr:rowOff>68580</xdr:rowOff>
    </xdr:from>
    <xdr:to>
      <xdr:col>6</xdr:col>
      <xdr:colOff>83820</xdr:colOff>
      <xdr:row>6</xdr:row>
      <xdr:rowOff>76200</xdr:rowOff>
    </xdr:to>
    <xdr:sp macro="" textlink="">
      <xdr:nvSpPr>
        <xdr:cNvPr id="8" name="Rectangle 7">
          <a:extLst>
            <a:ext uri="{FF2B5EF4-FFF2-40B4-BE49-F238E27FC236}">
              <a16:creationId xmlns:a16="http://schemas.microsoft.com/office/drawing/2014/main" id="{4B68552B-44BD-6DC8-6303-9B8D72543998}"/>
            </a:ext>
          </a:extLst>
        </xdr:cNvPr>
        <xdr:cNvSpPr/>
      </xdr:nvSpPr>
      <xdr:spPr>
        <a:xfrm>
          <a:off x="2225040" y="434340"/>
          <a:ext cx="151638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3</xdr:col>
      <xdr:colOff>441960</xdr:colOff>
      <xdr:row>2</xdr:row>
      <xdr:rowOff>106680</xdr:rowOff>
    </xdr:from>
    <xdr:to>
      <xdr:col>6</xdr:col>
      <xdr:colOff>22860</xdr:colOff>
      <xdr:row>4</xdr:row>
      <xdr:rowOff>53340</xdr:rowOff>
    </xdr:to>
    <xdr:sp macro="" textlink="">
      <xdr:nvSpPr>
        <xdr:cNvPr id="9" name="TextBox 8">
          <a:extLst>
            <a:ext uri="{FF2B5EF4-FFF2-40B4-BE49-F238E27FC236}">
              <a16:creationId xmlns:a16="http://schemas.microsoft.com/office/drawing/2014/main" id="{2CF67EB8-1EE6-030C-829B-CDB77D769352}"/>
            </a:ext>
          </a:extLst>
        </xdr:cNvPr>
        <xdr:cNvSpPr txBox="1"/>
      </xdr:nvSpPr>
      <xdr:spPr>
        <a:xfrm>
          <a:off x="2270760" y="472440"/>
          <a:ext cx="1409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NEW</a:t>
          </a:r>
          <a:r>
            <a:rPr lang="en-IN" sz="1400" baseline="0"/>
            <a:t> LEADS</a:t>
          </a:r>
          <a:endParaRPr lang="en-IN" sz="1400"/>
        </a:p>
      </xdr:txBody>
    </xdr:sp>
    <xdr:clientData/>
  </xdr:twoCellAnchor>
  <xdr:twoCellAnchor>
    <xdr:from>
      <xdr:col>3</xdr:col>
      <xdr:colOff>441960</xdr:colOff>
      <xdr:row>4</xdr:row>
      <xdr:rowOff>91440</xdr:rowOff>
    </xdr:from>
    <xdr:to>
      <xdr:col>6</xdr:col>
      <xdr:colOff>22860</xdr:colOff>
      <xdr:row>6</xdr:row>
      <xdr:rowOff>38100</xdr:rowOff>
    </xdr:to>
    <xdr:sp macro="" textlink="KPI_Sheet!D17">
      <xdr:nvSpPr>
        <xdr:cNvPr id="10" name="TextBox 9">
          <a:extLst>
            <a:ext uri="{FF2B5EF4-FFF2-40B4-BE49-F238E27FC236}">
              <a16:creationId xmlns:a16="http://schemas.microsoft.com/office/drawing/2014/main" id="{5FD06A1D-4B1F-4029-B886-5A09439FC096}"/>
            </a:ext>
          </a:extLst>
        </xdr:cNvPr>
        <xdr:cNvSpPr txBox="1"/>
      </xdr:nvSpPr>
      <xdr:spPr>
        <a:xfrm>
          <a:off x="2270760" y="822960"/>
          <a:ext cx="1409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D65092-3EAE-439D-A6C8-3E38FA51E1CA}" type="TxLink">
            <a:rPr lang="en-US" sz="1400" b="1" i="0" u="none" strike="noStrike">
              <a:solidFill>
                <a:srgbClr val="000000"/>
              </a:solidFill>
              <a:latin typeface="Aptos Narrow"/>
            </a:rPr>
            <a:pPr algn="ctr"/>
            <a:t>78</a:t>
          </a:fld>
          <a:endParaRPr lang="en-IN" sz="1400"/>
        </a:p>
      </xdr:txBody>
    </xdr:sp>
    <xdr:clientData/>
  </xdr:twoCellAnchor>
  <xdr:twoCellAnchor>
    <xdr:from>
      <xdr:col>6</xdr:col>
      <xdr:colOff>160020</xdr:colOff>
      <xdr:row>2</xdr:row>
      <xdr:rowOff>60960</xdr:rowOff>
    </xdr:from>
    <xdr:to>
      <xdr:col>9</xdr:col>
      <xdr:colOff>99060</xdr:colOff>
      <xdr:row>6</xdr:row>
      <xdr:rowOff>68580</xdr:rowOff>
    </xdr:to>
    <xdr:sp macro="" textlink="">
      <xdr:nvSpPr>
        <xdr:cNvPr id="11" name="Rectangle 10">
          <a:extLst>
            <a:ext uri="{FF2B5EF4-FFF2-40B4-BE49-F238E27FC236}">
              <a16:creationId xmlns:a16="http://schemas.microsoft.com/office/drawing/2014/main" id="{3C3FFB2B-ACF0-9064-5718-B10E6E431285}"/>
            </a:ext>
          </a:extLst>
        </xdr:cNvPr>
        <xdr:cNvSpPr/>
      </xdr:nvSpPr>
      <xdr:spPr>
        <a:xfrm>
          <a:off x="3817620" y="426720"/>
          <a:ext cx="176784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6</xdr:col>
      <xdr:colOff>205740</xdr:colOff>
      <xdr:row>2</xdr:row>
      <xdr:rowOff>99060</xdr:rowOff>
    </xdr:from>
    <xdr:to>
      <xdr:col>9</xdr:col>
      <xdr:colOff>45720</xdr:colOff>
      <xdr:row>4</xdr:row>
      <xdr:rowOff>45720</xdr:rowOff>
    </xdr:to>
    <xdr:sp macro="" textlink="">
      <xdr:nvSpPr>
        <xdr:cNvPr id="12" name="TextBox 11">
          <a:extLst>
            <a:ext uri="{FF2B5EF4-FFF2-40B4-BE49-F238E27FC236}">
              <a16:creationId xmlns:a16="http://schemas.microsoft.com/office/drawing/2014/main" id="{A2541623-41A8-928C-A913-2BE0C26D1642}"/>
            </a:ext>
          </a:extLst>
        </xdr:cNvPr>
        <xdr:cNvSpPr txBox="1"/>
      </xdr:nvSpPr>
      <xdr:spPr>
        <a:xfrm>
          <a:off x="3863340" y="464820"/>
          <a:ext cx="16687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QUALIFIED LEADS</a:t>
          </a:r>
        </a:p>
      </xdr:txBody>
    </xdr:sp>
    <xdr:clientData/>
  </xdr:twoCellAnchor>
  <xdr:twoCellAnchor>
    <xdr:from>
      <xdr:col>6</xdr:col>
      <xdr:colOff>205740</xdr:colOff>
      <xdr:row>4</xdr:row>
      <xdr:rowOff>83820</xdr:rowOff>
    </xdr:from>
    <xdr:to>
      <xdr:col>9</xdr:col>
      <xdr:colOff>22860</xdr:colOff>
      <xdr:row>6</xdr:row>
      <xdr:rowOff>30480</xdr:rowOff>
    </xdr:to>
    <xdr:sp macro="" textlink="KPI_Sheet!D18">
      <xdr:nvSpPr>
        <xdr:cNvPr id="13" name="TextBox 12">
          <a:extLst>
            <a:ext uri="{FF2B5EF4-FFF2-40B4-BE49-F238E27FC236}">
              <a16:creationId xmlns:a16="http://schemas.microsoft.com/office/drawing/2014/main" id="{BC469B8B-6EC0-FEE9-C69A-A4C383BDB1B4}"/>
            </a:ext>
          </a:extLst>
        </xdr:cNvPr>
        <xdr:cNvSpPr txBox="1"/>
      </xdr:nvSpPr>
      <xdr:spPr>
        <a:xfrm>
          <a:off x="3863340" y="815340"/>
          <a:ext cx="16459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0EF80B-AF9B-4633-B335-5863939C26C8}" type="TxLink">
            <a:rPr lang="en-US" sz="1400" b="1" i="0" u="none" strike="noStrike">
              <a:solidFill>
                <a:srgbClr val="000000"/>
              </a:solidFill>
              <a:latin typeface="Aptos Narrow"/>
            </a:rPr>
            <a:pPr algn="ctr"/>
            <a:t>83</a:t>
          </a:fld>
          <a:endParaRPr lang="en-IN" sz="1400"/>
        </a:p>
      </xdr:txBody>
    </xdr:sp>
    <xdr:clientData/>
  </xdr:twoCellAnchor>
  <xdr:twoCellAnchor>
    <xdr:from>
      <xdr:col>9</xdr:col>
      <xdr:colOff>213360</xdr:colOff>
      <xdr:row>2</xdr:row>
      <xdr:rowOff>53340</xdr:rowOff>
    </xdr:from>
    <xdr:to>
      <xdr:col>12</xdr:col>
      <xdr:colOff>426720</xdr:colOff>
      <xdr:row>6</xdr:row>
      <xdr:rowOff>60960</xdr:rowOff>
    </xdr:to>
    <xdr:sp macro="" textlink="">
      <xdr:nvSpPr>
        <xdr:cNvPr id="14" name="Rectangle 13">
          <a:extLst>
            <a:ext uri="{FF2B5EF4-FFF2-40B4-BE49-F238E27FC236}">
              <a16:creationId xmlns:a16="http://schemas.microsoft.com/office/drawing/2014/main" id="{1D8680C9-EC8F-C92F-1EC6-C238400A3AE7}"/>
            </a:ext>
          </a:extLst>
        </xdr:cNvPr>
        <xdr:cNvSpPr/>
      </xdr:nvSpPr>
      <xdr:spPr>
        <a:xfrm>
          <a:off x="5699760" y="419100"/>
          <a:ext cx="204216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9</xdr:col>
      <xdr:colOff>259080</xdr:colOff>
      <xdr:row>2</xdr:row>
      <xdr:rowOff>91440</xdr:rowOff>
    </xdr:from>
    <xdr:to>
      <xdr:col>12</xdr:col>
      <xdr:colOff>373380</xdr:colOff>
      <xdr:row>4</xdr:row>
      <xdr:rowOff>38100</xdr:rowOff>
    </xdr:to>
    <xdr:sp macro="" textlink="">
      <xdr:nvSpPr>
        <xdr:cNvPr id="15" name="TextBox 14">
          <a:extLst>
            <a:ext uri="{FF2B5EF4-FFF2-40B4-BE49-F238E27FC236}">
              <a16:creationId xmlns:a16="http://schemas.microsoft.com/office/drawing/2014/main" id="{379C169B-73EA-2916-3726-DB505C58DBD4}"/>
            </a:ext>
          </a:extLst>
        </xdr:cNvPr>
        <xdr:cNvSpPr txBox="1"/>
      </xdr:nvSpPr>
      <xdr:spPr>
        <a:xfrm>
          <a:off x="5745480" y="457200"/>
          <a:ext cx="1943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FOLLOW-UP</a:t>
          </a:r>
          <a:r>
            <a:rPr lang="en-IN" sz="1400" baseline="0"/>
            <a:t> LEADS</a:t>
          </a:r>
          <a:endParaRPr lang="en-IN" sz="1400"/>
        </a:p>
      </xdr:txBody>
    </xdr:sp>
    <xdr:clientData/>
  </xdr:twoCellAnchor>
  <xdr:twoCellAnchor>
    <xdr:from>
      <xdr:col>9</xdr:col>
      <xdr:colOff>259080</xdr:colOff>
      <xdr:row>4</xdr:row>
      <xdr:rowOff>76200</xdr:rowOff>
    </xdr:from>
    <xdr:to>
      <xdr:col>12</xdr:col>
      <xdr:colOff>373380</xdr:colOff>
      <xdr:row>6</xdr:row>
      <xdr:rowOff>22860</xdr:rowOff>
    </xdr:to>
    <xdr:sp macro="" textlink="KPI_Sheet!D15">
      <xdr:nvSpPr>
        <xdr:cNvPr id="16" name="TextBox 15">
          <a:extLst>
            <a:ext uri="{FF2B5EF4-FFF2-40B4-BE49-F238E27FC236}">
              <a16:creationId xmlns:a16="http://schemas.microsoft.com/office/drawing/2014/main" id="{0FD56A46-BB2E-9F2C-6466-BFAD3B6D38A4}"/>
            </a:ext>
          </a:extLst>
        </xdr:cNvPr>
        <xdr:cNvSpPr txBox="1"/>
      </xdr:nvSpPr>
      <xdr:spPr>
        <a:xfrm>
          <a:off x="5745480" y="807720"/>
          <a:ext cx="1943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2DCEE2-B30E-4E4A-9A12-67896EE82E9B}" type="TxLink">
            <a:rPr lang="en-US" sz="1400" b="1" i="0" u="none" strike="noStrike">
              <a:solidFill>
                <a:srgbClr val="000000"/>
              </a:solidFill>
              <a:latin typeface="Aptos Narrow"/>
            </a:rPr>
            <a:pPr algn="ctr"/>
            <a:t>82</a:t>
          </a:fld>
          <a:endParaRPr lang="en-IN" sz="1400"/>
        </a:p>
      </xdr:txBody>
    </xdr:sp>
    <xdr:clientData/>
  </xdr:twoCellAnchor>
  <xdr:twoCellAnchor>
    <xdr:from>
      <xdr:col>12</xdr:col>
      <xdr:colOff>533400</xdr:colOff>
      <xdr:row>2</xdr:row>
      <xdr:rowOff>45720</xdr:rowOff>
    </xdr:from>
    <xdr:to>
      <xdr:col>15</xdr:col>
      <xdr:colOff>571500</xdr:colOff>
      <xdr:row>6</xdr:row>
      <xdr:rowOff>53340</xdr:rowOff>
    </xdr:to>
    <xdr:sp macro="" textlink="">
      <xdr:nvSpPr>
        <xdr:cNvPr id="17" name="Rectangle 16">
          <a:extLst>
            <a:ext uri="{FF2B5EF4-FFF2-40B4-BE49-F238E27FC236}">
              <a16:creationId xmlns:a16="http://schemas.microsoft.com/office/drawing/2014/main" id="{A296786F-B54F-1243-95CC-F1A3DB4376A9}"/>
            </a:ext>
          </a:extLst>
        </xdr:cNvPr>
        <xdr:cNvSpPr/>
      </xdr:nvSpPr>
      <xdr:spPr>
        <a:xfrm>
          <a:off x="7848600" y="411480"/>
          <a:ext cx="186690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12</xdr:col>
      <xdr:colOff>601980</xdr:colOff>
      <xdr:row>2</xdr:row>
      <xdr:rowOff>83820</xdr:rowOff>
    </xdr:from>
    <xdr:to>
      <xdr:col>15</xdr:col>
      <xdr:colOff>518160</xdr:colOff>
      <xdr:row>4</xdr:row>
      <xdr:rowOff>30480</xdr:rowOff>
    </xdr:to>
    <xdr:sp macro="" textlink="">
      <xdr:nvSpPr>
        <xdr:cNvPr id="18" name="TextBox 17">
          <a:extLst>
            <a:ext uri="{FF2B5EF4-FFF2-40B4-BE49-F238E27FC236}">
              <a16:creationId xmlns:a16="http://schemas.microsoft.com/office/drawing/2014/main" id="{8FB73734-7D77-9DCD-3016-A7C460123046}"/>
            </a:ext>
          </a:extLst>
        </xdr:cNvPr>
        <xdr:cNvSpPr txBox="1"/>
      </xdr:nvSpPr>
      <xdr:spPr>
        <a:xfrm>
          <a:off x="7917180" y="449580"/>
          <a:ext cx="17449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CONVERTED</a:t>
          </a:r>
          <a:r>
            <a:rPr lang="en-IN" sz="1400" baseline="0"/>
            <a:t> LEADS</a:t>
          </a:r>
          <a:endParaRPr lang="en-IN" sz="1400"/>
        </a:p>
      </xdr:txBody>
    </xdr:sp>
    <xdr:clientData/>
  </xdr:twoCellAnchor>
  <xdr:twoCellAnchor>
    <xdr:from>
      <xdr:col>12</xdr:col>
      <xdr:colOff>601980</xdr:colOff>
      <xdr:row>4</xdr:row>
      <xdr:rowOff>68580</xdr:rowOff>
    </xdr:from>
    <xdr:to>
      <xdr:col>15</xdr:col>
      <xdr:colOff>502920</xdr:colOff>
      <xdr:row>6</xdr:row>
      <xdr:rowOff>15240</xdr:rowOff>
    </xdr:to>
    <xdr:sp macro="" textlink="KPI_Sheet!D14">
      <xdr:nvSpPr>
        <xdr:cNvPr id="19" name="TextBox 18">
          <a:extLst>
            <a:ext uri="{FF2B5EF4-FFF2-40B4-BE49-F238E27FC236}">
              <a16:creationId xmlns:a16="http://schemas.microsoft.com/office/drawing/2014/main" id="{FF809003-ACB2-7794-4A54-C701859AD279}"/>
            </a:ext>
          </a:extLst>
        </xdr:cNvPr>
        <xdr:cNvSpPr txBox="1"/>
      </xdr:nvSpPr>
      <xdr:spPr>
        <a:xfrm>
          <a:off x="7917180" y="800100"/>
          <a:ext cx="1729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BC074D-260F-4234-82F7-E6FA870EAFBB}" type="TxLink">
            <a:rPr lang="en-US" sz="1400" b="1" i="0" u="none" strike="noStrike">
              <a:solidFill>
                <a:srgbClr val="000000"/>
              </a:solidFill>
              <a:latin typeface="Aptos Narrow"/>
            </a:rPr>
            <a:pPr algn="ctr"/>
            <a:t>84</a:t>
          </a:fld>
          <a:endParaRPr lang="en-IN" sz="1400"/>
        </a:p>
      </xdr:txBody>
    </xdr:sp>
    <xdr:clientData/>
  </xdr:twoCellAnchor>
  <xdr:twoCellAnchor>
    <xdr:from>
      <xdr:col>16</xdr:col>
      <xdr:colOff>30480</xdr:colOff>
      <xdr:row>2</xdr:row>
      <xdr:rowOff>38100</xdr:rowOff>
    </xdr:from>
    <xdr:to>
      <xdr:col>19</xdr:col>
      <xdr:colOff>167640</xdr:colOff>
      <xdr:row>6</xdr:row>
      <xdr:rowOff>45720</xdr:rowOff>
    </xdr:to>
    <xdr:sp macro="" textlink="">
      <xdr:nvSpPr>
        <xdr:cNvPr id="20" name="Rectangle 19">
          <a:extLst>
            <a:ext uri="{FF2B5EF4-FFF2-40B4-BE49-F238E27FC236}">
              <a16:creationId xmlns:a16="http://schemas.microsoft.com/office/drawing/2014/main" id="{701BB118-2B24-91FC-CC88-1DBB97C8562B}"/>
            </a:ext>
          </a:extLst>
        </xdr:cNvPr>
        <xdr:cNvSpPr/>
      </xdr:nvSpPr>
      <xdr:spPr>
        <a:xfrm>
          <a:off x="9784080" y="403860"/>
          <a:ext cx="196596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16</xdr:col>
      <xdr:colOff>83820</xdr:colOff>
      <xdr:row>2</xdr:row>
      <xdr:rowOff>91440</xdr:rowOff>
    </xdr:from>
    <xdr:to>
      <xdr:col>19</xdr:col>
      <xdr:colOff>121920</xdr:colOff>
      <xdr:row>4</xdr:row>
      <xdr:rowOff>38100</xdr:rowOff>
    </xdr:to>
    <xdr:sp macro="" textlink="">
      <xdr:nvSpPr>
        <xdr:cNvPr id="29" name="TextBox 28">
          <a:extLst>
            <a:ext uri="{FF2B5EF4-FFF2-40B4-BE49-F238E27FC236}">
              <a16:creationId xmlns:a16="http://schemas.microsoft.com/office/drawing/2014/main" id="{33B79B52-58DD-F8DF-B015-1D05C1082B60}"/>
            </a:ext>
          </a:extLst>
        </xdr:cNvPr>
        <xdr:cNvSpPr txBox="1"/>
      </xdr:nvSpPr>
      <xdr:spPr>
        <a:xfrm>
          <a:off x="9837420" y="457200"/>
          <a:ext cx="18669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LOST LEADS</a:t>
          </a:r>
          <a:endParaRPr lang="en-IN" sz="1400"/>
        </a:p>
      </xdr:txBody>
    </xdr:sp>
    <xdr:clientData/>
  </xdr:twoCellAnchor>
  <xdr:twoCellAnchor>
    <xdr:from>
      <xdr:col>16</xdr:col>
      <xdr:colOff>91440</xdr:colOff>
      <xdr:row>4</xdr:row>
      <xdr:rowOff>68580</xdr:rowOff>
    </xdr:from>
    <xdr:to>
      <xdr:col>19</xdr:col>
      <xdr:colOff>129540</xdr:colOff>
      <xdr:row>6</xdr:row>
      <xdr:rowOff>15240</xdr:rowOff>
    </xdr:to>
    <xdr:sp macro="" textlink="KPI_Sheet!D16">
      <xdr:nvSpPr>
        <xdr:cNvPr id="30" name="TextBox 29">
          <a:extLst>
            <a:ext uri="{FF2B5EF4-FFF2-40B4-BE49-F238E27FC236}">
              <a16:creationId xmlns:a16="http://schemas.microsoft.com/office/drawing/2014/main" id="{96201794-A88C-0F8B-9090-7DABA5DD0A5B}"/>
            </a:ext>
          </a:extLst>
        </xdr:cNvPr>
        <xdr:cNvSpPr txBox="1"/>
      </xdr:nvSpPr>
      <xdr:spPr>
        <a:xfrm>
          <a:off x="9845040" y="800100"/>
          <a:ext cx="18669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3BA3C0-E9AE-493E-9065-E221EBCB062F}" type="TxLink">
            <a:rPr lang="en-US" sz="1400" b="1" i="0" u="none" strike="noStrike">
              <a:solidFill>
                <a:srgbClr val="000000"/>
              </a:solidFill>
              <a:latin typeface="Aptos Narrow"/>
            </a:rPr>
            <a:pPr algn="ctr"/>
            <a:t>78</a:t>
          </a:fld>
          <a:endParaRPr lang="en-IN" sz="1800"/>
        </a:p>
      </xdr:txBody>
    </xdr:sp>
    <xdr:clientData/>
  </xdr:twoCellAnchor>
  <xdr:twoCellAnchor>
    <xdr:from>
      <xdr:col>19</xdr:col>
      <xdr:colOff>251460</xdr:colOff>
      <xdr:row>2</xdr:row>
      <xdr:rowOff>38100</xdr:rowOff>
    </xdr:from>
    <xdr:to>
      <xdr:col>22</xdr:col>
      <xdr:colOff>388620</xdr:colOff>
      <xdr:row>6</xdr:row>
      <xdr:rowOff>45720</xdr:rowOff>
    </xdr:to>
    <xdr:sp macro="" textlink="">
      <xdr:nvSpPr>
        <xdr:cNvPr id="31" name="Rectangle 30">
          <a:extLst>
            <a:ext uri="{FF2B5EF4-FFF2-40B4-BE49-F238E27FC236}">
              <a16:creationId xmlns:a16="http://schemas.microsoft.com/office/drawing/2014/main" id="{94064EE9-E3CA-57EC-54D9-17FA6C259E5F}"/>
            </a:ext>
          </a:extLst>
        </xdr:cNvPr>
        <xdr:cNvSpPr/>
      </xdr:nvSpPr>
      <xdr:spPr>
        <a:xfrm>
          <a:off x="11833860" y="403860"/>
          <a:ext cx="196596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19</xdr:col>
      <xdr:colOff>304800</xdr:colOff>
      <xdr:row>2</xdr:row>
      <xdr:rowOff>91440</xdr:rowOff>
    </xdr:from>
    <xdr:to>
      <xdr:col>22</xdr:col>
      <xdr:colOff>342900</xdr:colOff>
      <xdr:row>4</xdr:row>
      <xdr:rowOff>38100</xdr:rowOff>
    </xdr:to>
    <xdr:sp macro="" textlink="">
      <xdr:nvSpPr>
        <xdr:cNvPr id="32" name="TextBox 31">
          <a:extLst>
            <a:ext uri="{FF2B5EF4-FFF2-40B4-BE49-F238E27FC236}">
              <a16:creationId xmlns:a16="http://schemas.microsoft.com/office/drawing/2014/main" id="{5167D2A8-938F-D496-B7DC-4003438B2E22}"/>
            </a:ext>
          </a:extLst>
        </xdr:cNvPr>
        <xdr:cNvSpPr txBox="1"/>
      </xdr:nvSpPr>
      <xdr:spPr>
        <a:xfrm>
          <a:off x="11887200" y="457200"/>
          <a:ext cx="18669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CONVERSION RATE</a:t>
          </a:r>
          <a:endParaRPr lang="en-IN" sz="1400"/>
        </a:p>
      </xdr:txBody>
    </xdr:sp>
    <xdr:clientData/>
  </xdr:twoCellAnchor>
  <xdr:twoCellAnchor>
    <xdr:from>
      <xdr:col>19</xdr:col>
      <xdr:colOff>312420</xdr:colOff>
      <xdr:row>4</xdr:row>
      <xdr:rowOff>68580</xdr:rowOff>
    </xdr:from>
    <xdr:to>
      <xdr:col>22</xdr:col>
      <xdr:colOff>350520</xdr:colOff>
      <xdr:row>6</xdr:row>
      <xdr:rowOff>15240</xdr:rowOff>
    </xdr:to>
    <xdr:sp macro="" textlink="KPI_Sheet!L10">
      <xdr:nvSpPr>
        <xdr:cNvPr id="33" name="TextBox 32">
          <a:extLst>
            <a:ext uri="{FF2B5EF4-FFF2-40B4-BE49-F238E27FC236}">
              <a16:creationId xmlns:a16="http://schemas.microsoft.com/office/drawing/2014/main" id="{200DCC23-413D-0C96-EAC1-ED320A9863A7}"/>
            </a:ext>
          </a:extLst>
        </xdr:cNvPr>
        <xdr:cNvSpPr txBox="1"/>
      </xdr:nvSpPr>
      <xdr:spPr>
        <a:xfrm>
          <a:off x="11894820" y="800100"/>
          <a:ext cx="18669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7C89EE-489D-480E-ACA2-BD281147E2F2}" type="TxLink">
            <a:rPr lang="en-US" sz="1400" b="1" i="0" u="none" strike="noStrike">
              <a:solidFill>
                <a:srgbClr val="000000"/>
              </a:solidFill>
              <a:latin typeface="Aptos Narrow"/>
            </a:rPr>
            <a:pPr algn="ctr"/>
            <a:t>0.17%</a:t>
          </a:fld>
          <a:endParaRPr lang="en-IN" sz="1800"/>
        </a:p>
      </xdr:txBody>
    </xdr:sp>
    <xdr:clientData/>
  </xdr:twoCellAnchor>
  <xdr:twoCellAnchor>
    <xdr:from>
      <xdr:col>1</xdr:col>
      <xdr:colOff>15240</xdr:colOff>
      <xdr:row>7</xdr:row>
      <xdr:rowOff>0</xdr:rowOff>
    </xdr:from>
    <xdr:to>
      <xdr:col>5</xdr:col>
      <xdr:colOff>213360</xdr:colOff>
      <xdr:row>11</xdr:row>
      <xdr:rowOff>7620</xdr:rowOff>
    </xdr:to>
    <xdr:sp macro="" textlink="">
      <xdr:nvSpPr>
        <xdr:cNvPr id="34" name="Rectangle 33">
          <a:extLst>
            <a:ext uri="{FF2B5EF4-FFF2-40B4-BE49-F238E27FC236}">
              <a16:creationId xmlns:a16="http://schemas.microsoft.com/office/drawing/2014/main" id="{72123EDB-F579-6A15-5BBB-6BA5AC954BA3}"/>
            </a:ext>
          </a:extLst>
        </xdr:cNvPr>
        <xdr:cNvSpPr/>
      </xdr:nvSpPr>
      <xdr:spPr>
        <a:xfrm>
          <a:off x="624840" y="1280160"/>
          <a:ext cx="263652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xdr:col>
      <xdr:colOff>68580</xdr:colOff>
      <xdr:row>7</xdr:row>
      <xdr:rowOff>53340</xdr:rowOff>
    </xdr:from>
    <xdr:to>
      <xdr:col>5</xdr:col>
      <xdr:colOff>152400</xdr:colOff>
      <xdr:row>9</xdr:row>
      <xdr:rowOff>0</xdr:rowOff>
    </xdr:to>
    <xdr:sp macro="" textlink="">
      <xdr:nvSpPr>
        <xdr:cNvPr id="35" name="TextBox 34">
          <a:extLst>
            <a:ext uri="{FF2B5EF4-FFF2-40B4-BE49-F238E27FC236}">
              <a16:creationId xmlns:a16="http://schemas.microsoft.com/office/drawing/2014/main" id="{73B2110F-2934-9862-9318-DB61D1CD1F4E}"/>
            </a:ext>
          </a:extLst>
        </xdr:cNvPr>
        <xdr:cNvSpPr txBox="1"/>
      </xdr:nvSpPr>
      <xdr:spPr>
        <a:xfrm>
          <a:off x="678180" y="1333500"/>
          <a:ext cx="25222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TOTAL POTENTIAL REVENUE</a:t>
          </a:r>
          <a:endParaRPr lang="en-IN" sz="1400"/>
        </a:p>
      </xdr:txBody>
    </xdr:sp>
    <xdr:clientData/>
  </xdr:twoCellAnchor>
  <xdr:twoCellAnchor>
    <xdr:from>
      <xdr:col>1</xdr:col>
      <xdr:colOff>76200</xdr:colOff>
      <xdr:row>9</xdr:row>
      <xdr:rowOff>30480</xdr:rowOff>
    </xdr:from>
    <xdr:to>
      <xdr:col>5</xdr:col>
      <xdr:colOff>137160</xdr:colOff>
      <xdr:row>10</xdr:row>
      <xdr:rowOff>160020</xdr:rowOff>
    </xdr:to>
    <xdr:sp macro="" textlink="KPI_Sheet!F6">
      <xdr:nvSpPr>
        <xdr:cNvPr id="36" name="TextBox 35">
          <a:extLst>
            <a:ext uri="{FF2B5EF4-FFF2-40B4-BE49-F238E27FC236}">
              <a16:creationId xmlns:a16="http://schemas.microsoft.com/office/drawing/2014/main" id="{1FB929C9-7837-FCF5-C504-CBC3B803DF14}"/>
            </a:ext>
          </a:extLst>
        </xdr:cNvPr>
        <xdr:cNvSpPr txBox="1"/>
      </xdr:nvSpPr>
      <xdr:spPr>
        <a:xfrm>
          <a:off x="685800" y="1676400"/>
          <a:ext cx="24993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1C29AB-1F6F-46D4-B37C-4E79B2BEAFDC}" type="TxLink">
            <a:rPr lang="en-US" sz="1400" b="1" i="0" u="none" strike="noStrike">
              <a:solidFill>
                <a:srgbClr val="000000"/>
              </a:solidFill>
              <a:latin typeface="Aptos Narrow"/>
            </a:rPr>
            <a:pPr algn="ctr"/>
            <a:t>₹ 6,41,46,990</a:t>
          </a:fld>
          <a:endParaRPr lang="en-IN" sz="1800" b="1"/>
        </a:p>
      </xdr:txBody>
    </xdr:sp>
    <xdr:clientData/>
  </xdr:twoCellAnchor>
  <xdr:twoCellAnchor>
    <xdr:from>
      <xdr:col>5</xdr:col>
      <xdr:colOff>289560</xdr:colOff>
      <xdr:row>6</xdr:row>
      <xdr:rowOff>175260</xdr:rowOff>
    </xdr:from>
    <xdr:to>
      <xdr:col>9</xdr:col>
      <xdr:colOff>487680</xdr:colOff>
      <xdr:row>11</xdr:row>
      <xdr:rowOff>0</xdr:rowOff>
    </xdr:to>
    <xdr:sp macro="" textlink="">
      <xdr:nvSpPr>
        <xdr:cNvPr id="37" name="Rectangle 36">
          <a:extLst>
            <a:ext uri="{FF2B5EF4-FFF2-40B4-BE49-F238E27FC236}">
              <a16:creationId xmlns:a16="http://schemas.microsoft.com/office/drawing/2014/main" id="{1DF893EE-1247-2692-6203-B4294209EBEC}"/>
            </a:ext>
          </a:extLst>
        </xdr:cNvPr>
        <xdr:cNvSpPr/>
      </xdr:nvSpPr>
      <xdr:spPr>
        <a:xfrm>
          <a:off x="3337560" y="1272540"/>
          <a:ext cx="263652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5</xdr:col>
      <xdr:colOff>342900</xdr:colOff>
      <xdr:row>7</xdr:row>
      <xdr:rowOff>45720</xdr:rowOff>
    </xdr:from>
    <xdr:to>
      <xdr:col>9</xdr:col>
      <xdr:colOff>426720</xdr:colOff>
      <xdr:row>8</xdr:row>
      <xdr:rowOff>175260</xdr:rowOff>
    </xdr:to>
    <xdr:sp macro="" textlink="">
      <xdr:nvSpPr>
        <xdr:cNvPr id="38" name="TextBox 37">
          <a:extLst>
            <a:ext uri="{FF2B5EF4-FFF2-40B4-BE49-F238E27FC236}">
              <a16:creationId xmlns:a16="http://schemas.microsoft.com/office/drawing/2014/main" id="{C49F55FE-1FB6-A9E9-27CC-328B1812129F}"/>
            </a:ext>
          </a:extLst>
        </xdr:cNvPr>
        <xdr:cNvSpPr txBox="1"/>
      </xdr:nvSpPr>
      <xdr:spPr>
        <a:xfrm>
          <a:off x="3390900" y="1325880"/>
          <a:ext cx="25222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CONVERTED REVENUE</a:t>
          </a:r>
          <a:endParaRPr lang="en-IN" sz="1400"/>
        </a:p>
      </xdr:txBody>
    </xdr:sp>
    <xdr:clientData/>
  </xdr:twoCellAnchor>
  <xdr:twoCellAnchor>
    <xdr:from>
      <xdr:col>5</xdr:col>
      <xdr:colOff>350520</xdr:colOff>
      <xdr:row>9</xdr:row>
      <xdr:rowOff>22860</xdr:rowOff>
    </xdr:from>
    <xdr:to>
      <xdr:col>9</xdr:col>
      <xdr:colOff>411480</xdr:colOff>
      <xdr:row>10</xdr:row>
      <xdr:rowOff>152400</xdr:rowOff>
    </xdr:to>
    <xdr:sp macro="" textlink="KPI_Sheet!H12">
      <xdr:nvSpPr>
        <xdr:cNvPr id="39" name="TextBox 38">
          <a:extLst>
            <a:ext uri="{FF2B5EF4-FFF2-40B4-BE49-F238E27FC236}">
              <a16:creationId xmlns:a16="http://schemas.microsoft.com/office/drawing/2014/main" id="{A9524E21-3D38-109D-5829-FFAC8BE14198}"/>
            </a:ext>
          </a:extLst>
        </xdr:cNvPr>
        <xdr:cNvSpPr txBox="1"/>
      </xdr:nvSpPr>
      <xdr:spPr>
        <a:xfrm>
          <a:off x="3398520" y="1668780"/>
          <a:ext cx="24993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1B07A5-25A3-4577-AEB2-D2F48292FBFE}" type="TxLink">
            <a:rPr lang="en-US" sz="1400" b="1" i="0" u="none" strike="noStrike">
              <a:solidFill>
                <a:srgbClr val="000000"/>
              </a:solidFill>
              <a:latin typeface="Aptos Narrow"/>
            </a:rPr>
            <a:pPr algn="ctr"/>
            <a:t>₹ 1,09,93,580</a:t>
          </a:fld>
          <a:endParaRPr lang="en-IN" sz="1800"/>
        </a:p>
      </xdr:txBody>
    </xdr:sp>
    <xdr:clientData/>
  </xdr:twoCellAnchor>
  <xdr:twoCellAnchor>
    <xdr:from>
      <xdr:col>9</xdr:col>
      <xdr:colOff>571500</xdr:colOff>
      <xdr:row>7</xdr:row>
      <xdr:rowOff>0</xdr:rowOff>
    </xdr:from>
    <xdr:to>
      <xdr:col>14</xdr:col>
      <xdr:colOff>160020</xdr:colOff>
      <xdr:row>11</xdr:row>
      <xdr:rowOff>7620</xdr:rowOff>
    </xdr:to>
    <xdr:sp macro="" textlink="">
      <xdr:nvSpPr>
        <xdr:cNvPr id="40" name="Rectangle 39">
          <a:extLst>
            <a:ext uri="{FF2B5EF4-FFF2-40B4-BE49-F238E27FC236}">
              <a16:creationId xmlns:a16="http://schemas.microsoft.com/office/drawing/2014/main" id="{0BF92969-B300-CD16-0F36-7F4D49E12F98}"/>
            </a:ext>
          </a:extLst>
        </xdr:cNvPr>
        <xdr:cNvSpPr/>
      </xdr:nvSpPr>
      <xdr:spPr>
        <a:xfrm>
          <a:off x="6057900" y="1280160"/>
          <a:ext cx="263652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10</xdr:col>
      <xdr:colOff>15240</xdr:colOff>
      <xdr:row>7</xdr:row>
      <xdr:rowOff>53340</xdr:rowOff>
    </xdr:from>
    <xdr:to>
      <xdr:col>14</xdr:col>
      <xdr:colOff>99060</xdr:colOff>
      <xdr:row>9</xdr:row>
      <xdr:rowOff>0</xdr:rowOff>
    </xdr:to>
    <xdr:sp macro="" textlink="">
      <xdr:nvSpPr>
        <xdr:cNvPr id="41" name="TextBox 40">
          <a:extLst>
            <a:ext uri="{FF2B5EF4-FFF2-40B4-BE49-F238E27FC236}">
              <a16:creationId xmlns:a16="http://schemas.microsoft.com/office/drawing/2014/main" id="{A80F56D7-2439-C25C-E0A8-5A5287F518B2}"/>
            </a:ext>
          </a:extLst>
        </xdr:cNvPr>
        <xdr:cNvSpPr txBox="1"/>
      </xdr:nvSpPr>
      <xdr:spPr>
        <a:xfrm>
          <a:off x="6111240" y="1333500"/>
          <a:ext cx="25222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AVG DEAL SIZE</a:t>
          </a:r>
          <a:endParaRPr lang="en-IN" sz="1400"/>
        </a:p>
      </xdr:txBody>
    </xdr:sp>
    <xdr:clientData/>
  </xdr:twoCellAnchor>
  <xdr:twoCellAnchor>
    <xdr:from>
      <xdr:col>10</xdr:col>
      <xdr:colOff>22860</xdr:colOff>
      <xdr:row>9</xdr:row>
      <xdr:rowOff>30480</xdr:rowOff>
    </xdr:from>
    <xdr:to>
      <xdr:col>14</xdr:col>
      <xdr:colOff>83820</xdr:colOff>
      <xdr:row>10</xdr:row>
      <xdr:rowOff>160020</xdr:rowOff>
    </xdr:to>
    <xdr:sp macro="" textlink="KPI_Sheet!H25">
      <xdr:nvSpPr>
        <xdr:cNvPr id="42" name="TextBox 41">
          <a:extLst>
            <a:ext uri="{FF2B5EF4-FFF2-40B4-BE49-F238E27FC236}">
              <a16:creationId xmlns:a16="http://schemas.microsoft.com/office/drawing/2014/main" id="{AF45C3DA-8219-FFAC-73EC-D62F79D4192D}"/>
            </a:ext>
          </a:extLst>
        </xdr:cNvPr>
        <xdr:cNvSpPr txBox="1"/>
      </xdr:nvSpPr>
      <xdr:spPr>
        <a:xfrm>
          <a:off x="6118860" y="1676400"/>
          <a:ext cx="24993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811348-92FD-4E2C-B2D6-FE82D06CB27B}" type="TxLink">
            <a:rPr lang="en-US" sz="1400" b="1" i="0" u="none" strike="noStrike">
              <a:solidFill>
                <a:srgbClr val="000000"/>
              </a:solidFill>
              <a:latin typeface="Aptos Narrow"/>
            </a:rPr>
            <a:pPr algn="ctr"/>
            <a:t>₹ 1,30,875.95</a:t>
          </a:fld>
          <a:endParaRPr lang="en-IN" sz="1800"/>
        </a:p>
      </xdr:txBody>
    </xdr:sp>
    <xdr:clientData/>
  </xdr:twoCellAnchor>
  <xdr:twoCellAnchor>
    <xdr:from>
      <xdr:col>14</xdr:col>
      <xdr:colOff>243840</xdr:colOff>
      <xdr:row>7</xdr:row>
      <xdr:rowOff>7620</xdr:rowOff>
    </xdr:from>
    <xdr:to>
      <xdr:col>18</xdr:col>
      <xdr:colOff>441960</xdr:colOff>
      <xdr:row>11</xdr:row>
      <xdr:rowOff>15240</xdr:rowOff>
    </xdr:to>
    <xdr:sp macro="" textlink="">
      <xdr:nvSpPr>
        <xdr:cNvPr id="43" name="Rectangle 42">
          <a:extLst>
            <a:ext uri="{FF2B5EF4-FFF2-40B4-BE49-F238E27FC236}">
              <a16:creationId xmlns:a16="http://schemas.microsoft.com/office/drawing/2014/main" id="{2625977C-925D-1DED-AE6E-69F59F7E0CFA}"/>
            </a:ext>
          </a:extLst>
        </xdr:cNvPr>
        <xdr:cNvSpPr/>
      </xdr:nvSpPr>
      <xdr:spPr>
        <a:xfrm>
          <a:off x="8778240" y="1287780"/>
          <a:ext cx="2636520" cy="739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14</xdr:col>
      <xdr:colOff>297180</xdr:colOff>
      <xdr:row>7</xdr:row>
      <xdr:rowOff>60960</xdr:rowOff>
    </xdr:from>
    <xdr:to>
      <xdr:col>18</xdr:col>
      <xdr:colOff>381000</xdr:colOff>
      <xdr:row>9</xdr:row>
      <xdr:rowOff>7620</xdr:rowOff>
    </xdr:to>
    <xdr:sp macro="" textlink="">
      <xdr:nvSpPr>
        <xdr:cNvPr id="44" name="TextBox 43">
          <a:extLst>
            <a:ext uri="{FF2B5EF4-FFF2-40B4-BE49-F238E27FC236}">
              <a16:creationId xmlns:a16="http://schemas.microsoft.com/office/drawing/2014/main" id="{16F97FDB-E558-4E7B-0955-4F90E837FF62}"/>
            </a:ext>
          </a:extLst>
        </xdr:cNvPr>
        <xdr:cNvSpPr txBox="1"/>
      </xdr:nvSpPr>
      <xdr:spPr>
        <a:xfrm>
          <a:off x="8831580" y="1341120"/>
          <a:ext cx="25222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AVG LEAD DAYS</a:t>
          </a:r>
          <a:endParaRPr lang="en-IN" sz="1400"/>
        </a:p>
      </xdr:txBody>
    </xdr:sp>
    <xdr:clientData/>
  </xdr:twoCellAnchor>
  <xdr:twoCellAnchor>
    <xdr:from>
      <xdr:col>14</xdr:col>
      <xdr:colOff>304800</xdr:colOff>
      <xdr:row>9</xdr:row>
      <xdr:rowOff>38100</xdr:rowOff>
    </xdr:from>
    <xdr:to>
      <xdr:col>18</xdr:col>
      <xdr:colOff>365760</xdr:colOff>
      <xdr:row>10</xdr:row>
      <xdr:rowOff>167640</xdr:rowOff>
    </xdr:to>
    <xdr:sp macro="" textlink="KPI_Sheet!L5">
      <xdr:nvSpPr>
        <xdr:cNvPr id="45" name="TextBox 44">
          <a:extLst>
            <a:ext uri="{FF2B5EF4-FFF2-40B4-BE49-F238E27FC236}">
              <a16:creationId xmlns:a16="http://schemas.microsoft.com/office/drawing/2014/main" id="{5D992B71-901F-A278-3BB7-78FD30AE30DA}"/>
            </a:ext>
          </a:extLst>
        </xdr:cNvPr>
        <xdr:cNvSpPr txBox="1"/>
      </xdr:nvSpPr>
      <xdr:spPr>
        <a:xfrm>
          <a:off x="8839200" y="1684020"/>
          <a:ext cx="24993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E97D0A-86A1-4834-88E5-E4B71183EDBB}" type="TxLink">
            <a:rPr lang="en-US" sz="1400" b="1" i="0" u="none" strike="noStrike">
              <a:solidFill>
                <a:srgbClr val="000000"/>
              </a:solidFill>
              <a:latin typeface="Aptos Narrow"/>
            </a:rPr>
            <a:pPr algn="ctr"/>
            <a:t>89.678</a:t>
          </a:fld>
          <a:endParaRPr lang="en-IN" sz="1800"/>
        </a:p>
      </xdr:txBody>
    </xdr:sp>
    <xdr:clientData/>
  </xdr:twoCellAnchor>
  <xdr:twoCellAnchor>
    <xdr:from>
      <xdr:col>5</xdr:col>
      <xdr:colOff>320040</xdr:colOff>
      <xdr:row>12</xdr:row>
      <xdr:rowOff>7620</xdr:rowOff>
    </xdr:from>
    <xdr:to>
      <xdr:col>13</xdr:col>
      <xdr:colOff>434340</xdr:colOff>
      <xdr:row>23</xdr:row>
      <xdr:rowOff>7620</xdr:rowOff>
    </xdr:to>
    <xdr:graphicFrame macro="">
      <xdr:nvGraphicFramePr>
        <xdr:cNvPr id="47" name="Chart 46">
          <a:extLst>
            <a:ext uri="{FF2B5EF4-FFF2-40B4-BE49-F238E27FC236}">
              <a16:creationId xmlns:a16="http://schemas.microsoft.com/office/drawing/2014/main" id="{3DF69D95-5200-4208-9B65-C6B3AF63F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563880</xdr:colOff>
      <xdr:row>12</xdr:row>
      <xdr:rowOff>0</xdr:rowOff>
    </xdr:from>
    <xdr:to>
      <xdr:col>22</xdr:col>
      <xdr:colOff>60960</xdr:colOff>
      <xdr:row>23</xdr:row>
      <xdr:rowOff>0</xdr:rowOff>
    </xdr:to>
    <xdr:graphicFrame macro="">
      <xdr:nvGraphicFramePr>
        <xdr:cNvPr id="48" name="Chart 47">
          <a:extLst>
            <a:ext uri="{FF2B5EF4-FFF2-40B4-BE49-F238E27FC236}">
              <a16:creationId xmlns:a16="http://schemas.microsoft.com/office/drawing/2014/main" id="{C6C1EA75-43D5-41A6-9564-D0303603D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320040</xdr:colOff>
      <xdr:row>23</xdr:row>
      <xdr:rowOff>152400</xdr:rowOff>
    </xdr:from>
    <xdr:to>
      <xdr:col>13</xdr:col>
      <xdr:colOff>419100</xdr:colOff>
      <xdr:row>34</xdr:row>
      <xdr:rowOff>83820</xdr:rowOff>
    </xdr:to>
    <xdr:graphicFrame macro="">
      <xdr:nvGraphicFramePr>
        <xdr:cNvPr id="49" name="Chart 48">
          <a:extLst>
            <a:ext uri="{FF2B5EF4-FFF2-40B4-BE49-F238E27FC236}">
              <a16:creationId xmlns:a16="http://schemas.microsoft.com/office/drawing/2014/main" id="{6F85A925-F27D-441C-9BB7-2F3BF00B1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548640</xdr:colOff>
      <xdr:row>23</xdr:row>
      <xdr:rowOff>152400</xdr:rowOff>
    </xdr:from>
    <xdr:to>
      <xdr:col>22</xdr:col>
      <xdr:colOff>38100</xdr:colOff>
      <xdr:row>34</xdr:row>
      <xdr:rowOff>91440</xdr:rowOff>
    </xdr:to>
    <xdr:graphicFrame macro="">
      <xdr:nvGraphicFramePr>
        <xdr:cNvPr id="50" name="Chart 49">
          <a:extLst>
            <a:ext uri="{FF2B5EF4-FFF2-40B4-BE49-F238E27FC236}">
              <a16:creationId xmlns:a16="http://schemas.microsoft.com/office/drawing/2014/main" id="{0AB42FFF-5F04-45A3-A4CD-9508F3B39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320040</xdr:colOff>
      <xdr:row>35</xdr:row>
      <xdr:rowOff>38100</xdr:rowOff>
    </xdr:from>
    <xdr:to>
      <xdr:col>13</xdr:col>
      <xdr:colOff>411480</xdr:colOff>
      <xdr:row>47</xdr:row>
      <xdr:rowOff>60960</xdr:rowOff>
    </xdr:to>
    <xdr:graphicFrame macro="">
      <xdr:nvGraphicFramePr>
        <xdr:cNvPr id="51" name="Chart 50">
          <a:extLst>
            <a:ext uri="{FF2B5EF4-FFF2-40B4-BE49-F238E27FC236}">
              <a16:creationId xmlns:a16="http://schemas.microsoft.com/office/drawing/2014/main" id="{2181BD72-9DF9-4889-81B0-8F19EAA8D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548640</xdr:colOff>
      <xdr:row>35</xdr:row>
      <xdr:rowOff>53340</xdr:rowOff>
    </xdr:from>
    <xdr:to>
      <xdr:col>22</xdr:col>
      <xdr:colOff>30480</xdr:colOff>
      <xdr:row>47</xdr:row>
      <xdr:rowOff>60960</xdr:rowOff>
    </xdr:to>
    <xdr:graphicFrame macro="">
      <xdr:nvGraphicFramePr>
        <xdr:cNvPr id="52" name="Chart 51">
          <a:extLst>
            <a:ext uri="{FF2B5EF4-FFF2-40B4-BE49-F238E27FC236}">
              <a16:creationId xmlns:a16="http://schemas.microsoft.com/office/drawing/2014/main" id="{A9265AEC-05CB-4575-8379-C9AC273F5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15240</xdr:colOff>
      <xdr:row>12</xdr:row>
      <xdr:rowOff>15241</xdr:rowOff>
    </xdr:from>
    <xdr:to>
      <xdr:col>5</xdr:col>
      <xdr:colOff>220980</xdr:colOff>
      <xdr:row>24</xdr:row>
      <xdr:rowOff>167641</xdr:rowOff>
    </xdr:to>
    <mc:AlternateContent xmlns:mc="http://schemas.openxmlformats.org/markup-compatibility/2006">
      <mc:Choice xmlns:a14="http://schemas.microsoft.com/office/drawing/2010/main" Requires="a14">
        <xdr:graphicFrame macro="">
          <xdr:nvGraphicFramePr>
            <xdr:cNvPr id="53" name="Lead_Source">
              <a:extLst>
                <a:ext uri="{FF2B5EF4-FFF2-40B4-BE49-F238E27FC236}">
                  <a16:creationId xmlns:a16="http://schemas.microsoft.com/office/drawing/2014/main" id="{B9FDBE71-265D-3D32-8183-C850E375377D}"/>
                </a:ext>
              </a:extLst>
            </xdr:cNvPr>
            <xdr:cNvGraphicFramePr/>
          </xdr:nvGraphicFramePr>
          <xdr:xfrm>
            <a:off x="0" y="0"/>
            <a:ext cx="0" cy="0"/>
          </xdr:xfrm>
          <a:graphic>
            <a:graphicData uri="http://schemas.microsoft.com/office/drawing/2010/slicer">
              <sle:slicer xmlns:sle="http://schemas.microsoft.com/office/drawing/2010/slicer" name="Lead_Source"/>
            </a:graphicData>
          </a:graphic>
        </xdr:graphicFrame>
      </mc:Choice>
      <mc:Fallback>
        <xdr:sp macro="" textlink="">
          <xdr:nvSpPr>
            <xdr:cNvPr id="0" name=""/>
            <xdr:cNvSpPr>
              <a:spLocks noTextEdit="1"/>
            </xdr:cNvSpPr>
          </xdr:nvSpPr>
          <xdr:spPr>
            <a:xfrm>
              <a:off x="624840" y="2209801"/>
              <a:ext cx="264414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25</xdr:row>
      <xdr:rowOff>99061</xdr:rowOff>
    </xdr:from>
    <xdr:to>
      <xdr:col>5</xdr:col>
      <xdr:colOff>220980</xdr:colOff>
      <xdr:row>35</xdr:row>
      <xdr:rowOff>83821</xdr:rowOff>
    </xdr:to>
    <mc:AlternateContent xmlns:mc="http://schemas.openxmlformats.org/markup-compatibility/2006">
      <mc:Choice xmlns:a14="http://schemas.microsoft.com/office/drawing/2010/main" Requires="a14">
        <xdr:graphicFrame macro="">
          <xdr:nvGraphicFramePr>
            <xdr:cNvPr id="54" name="Product_Interest">
              <a:extLst>
                <a:ext uri="{FF2B5EF4-FFF2-40B4-BE49-F238E27FC236}">
                  <a16:creationId xmlns:a16="http://schemas.microsoft.com/office/drawing/2014/main" id="{1A08D9DA-6A4B-9A10-CE06-69081FC021BC}"/>
                </a:ext>
              </a:extLst>
            </xdr:cNvPr>
            <xdr:cNvGraphicFramePr/>
          </xdr:nvGraphicFramePr>
          <xdr:xfrm>
            <a:off x="0" y="0"/>
            <a:ext cx="0" cy="0"/>
          </xdr:xfrm>
          <a:graphic>
            <a:graphicData uri="http://schemas.microsoft.com/office/drawing/2010/slicer">
              <sle:slicer xmlns:sle="http://schemas.microsoft.com/office/drawing/2010/slicer" name="Product_Interest"/>
            </a:graphicData>
          </a:graphic>
        </xdr:graphicFrame>
      </mc:Choice>
      <mc:Fallback>
        <xdr:sp macro="" textlink="">
          <xdr:nvSpPr>
            <xdr:cNvPr id="0" name=""/>
            <xdr:cNvSpPr>
              <a:spLocks noTextEdit="1"/>
            </xdr:cNvSpPr>
          </xdr:nvSpPr>
          <xdr:spPr>
            <a:xfrm>
              <a:off x="624840" y="4671061"/>
              <a:ext cx="264414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36</xdr:row>
      <xdr:rowOff>7621</xdr:rowOff>
    </xdr:from>
    <xdr:to>
      <xdr:col>5</xdr:col>
      <xdr:colOff>205740</xdr:colOff>
      <xdr:row>47</xdr:row>
      <xdr:rowOff>60961</xdr:rowOff>
    </xdr:to>
    <mc:AlternateContent xmlns:mc="http://schemas.openxmlformats.org/markup-compatibility/2006">
      <mc:Choice xmlns:a14="http://schemas.microsoft.com/office/drawing/2010/main" Requires="a14">
        <xdr:graphicFrame macro="">
          <xdr:nvGraphicFramePr>
            <xdr:cNvPr id="55" name="Status">
              <a:extLst>
                <a:ext uri="{FF2B5EF4-FFF2-40B4-BE49-F238E27FC236}">
                  <a16:creationId xmlns:a16="http://schemas.microsoft.com/office/drawing/2014/main" id="{45F1C81F-E33F-5728-86F7-8BA3AA927BB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624840" y="6591301"/>
              <a:ext cx="26289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0</xdr:row>
      <xdr:rowOff>45720</xdr:rowOff>
    </xdr:from>
    <xdr:to>
      <xdr:col>15</xdr:col>
      <xdr:colOff>205740</xdr:colOff>
      <xdr:row>2</xdr:row>
      <xdr:rowOff>7620</xdr:rowOff>
    </xdr:to>
    <xdr:sp macro="" textlink="">
      <xdr:nvSpPr>
        <xdr:cNvPr id="56" name="TextBox 55">
          <a:extLst>
            <a:ext uri="{FF2B5EF4-FFF2-40B4-BE49-F238E27FC236}">
              <a16:creationId xmlns:a16="http://schemas.microsoft.com/office/drawing/2014/main" id="{92DD8A92-6996-8C7E-E141-4348A23AF36F}"/>
            </a:ext>
          </a:extLst>
        </xdr:cNvPr>
        <xdr:cNvSpPr txBox="1"/>
      </xdr:nvSpPr>
      <xdr:spPr>
        <a:xfrm>
          <a:off x="624840" y="45720"/>
          <a:ext cx="87249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chemeClr val="bg1"/>
              </a:solidFill>
            </a:rPr>
            <a:t>SALES LEAD MANAGEMENT</a:t>
          </a:r>
          <a:r>
            <a:rPr lang="en-IN" sz="1800" b="1" baseline="0">
              <a:solidFill>
                <a:schemeClr val="bg1"/>
              </a:solidFill>
            </a:rPr>
            <a:t> DASHBOARD</a:t>
          </a:r>
          <a:endParaRPr lang="en-IN"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2.715527314816" createdVersion="8" refreshedVersion="8" minRefreshableVersion="3" recordCount="500" xr:uid="{08B603C0-1C91-4F8B-AC55-58D3AA636441}">
  <cacheSource type="worksheet">
    <worksheetSource name="Lead_Data"/>
  </cacheSource>
  <cacheFields count="14">
    <cacheField name="Lead_ID" numFmtId="0">
      <sharedItems/>
    </cacheField>
    <cacheField name="Customer_Name" numFmtId="0">
      <sharedItems/>
    </cacheField>
    <cacheField name="Phone" numFmtId="0">
      <sharedItems containsSemiMixedTypes="0" containsString="0" containsNumber="1" containsInteger="1" minValue="9310256129" maxValue="9899976950"/>
    </cacheField>
    <cacheField name="Email" numFmtId="0">
      <sharedItems/>
    </cacheField>
    <cacheField name="City" numFmtId="0">
      <sharedItems count="10">
        <s v="Pune"/>
        <s v="Delhi"/>
        <s v="Jaipur"/>
        <s v="Ahmedabad"/>
        <s v="Indore"/>
        <s v="Bangalore"/>
        <s v="Mumbai"/>
        <s v="Hyderabad"/>
        <s v="Chennai"/>
        <s v="Nagpur"/>
      </sharedItems>
    </cacheField>
    <cacheField name="Lead_Source" numFmtId="0">
      <sharedItems count="7">
        <s v="Instagram"/>
        <s v="Website"/>
        <s v="LinkedIn"/>
        <s v="Google Ads"/>
        <s v="Referral"/>
        <s v="Justdial"/>
        <s v="Facebook Ads"/>
      </sharedItems>
    </cacheField>
    <cacheField name="Product_Interest" numFmtId="0">
      <sharedItems count="5">
        <s v="Online MBA"/>
        <s v="CRM Software"/>
        <s v="ERP Solution"/>
        <s v="Digital Marketing Course"/>
        <s v="Advanced Excel Course"/>
      </sharedItems>
    </cacheField>
    <cacheField name="Lead_Date" numFmtId="14">
      <sharedItems containsSemiMixedTypes="0" containsNonDate="0" containsDate="1" containsString="0" minDate="2026-01-01T00:00:00" maxDate="2026-06-28T00:00:00"/>
    </cacheField>
    <cacheField name="Month" numFmtId="14">
      <sharedItems count="6">
        <s v="May"/>
        <s v="January"/>
        <s v="March"/>
        <s v="April"/>
        <s v="June"/>
        <s v="February"/>
      </sharedItems>
    </cacheField>
    <cacheField name="Lead Age" numFmtId="0">
      <sharedItems containsSemiMixedTypes="0" containsString="0" containsNumber="1" containsInteger="1" minValue="2" maxValue="179" count="172">
        <n v="42"/>
        <n v="162"/>
        <n v="32"/>
        <n v="149"/>
        <n v="155"/>
        <n v="99"/>
        <n v="72"/>
        <n v="58"/>
        <n v="61"/>
        <n v="78"/>
        <n v="39"/>
        <n v="120"/>
        <n v="85"/>
        <n v="5"/>
        <n v="25"/>
        <n v="143"/>
        <n v="87"/>
        <n v="47"/>
        <n v="130"/>
        <n v="172"/>
        <n v="159"/>
        <n v="57"/>
        <n v="17"/>
        <n v="28"/>
        <n v="40"/>
        <n v="51"/>
        <n v="141"/>
        <n v="37"/>
        <n v="64"/>
        <n v="144"/>
        <n v="102"/>
        <n v="123"/>
        <n v="93"/>
        <n v="175"/>
        <n v="158"/>
        <n v="161"/>
        <n v="177"/>
        <n v="138"/>
        <n v="131"/>
        <n v="101"/>
        <n v="117"/>
        <n v="77"/>
        <n v="11"/>
        <n v="48"/>
        <n v="167"/>
        <n v="127"/>
        <n v="22"/>
        <n v="56"/>
        <n v="62"/>
        <n v="31"/>
        <n v="151"/>
        <n v="76"/>
        <n v="96"/>
        <n v="80"/>
        <n v="106"/>
        <n v="18"/>
        <n v="107"/>
        <n v="137"/>
        <n v="70"/>
        <n v="83"/>
        <n v="147"/>
        <n v="65"/>
        <n v="38"/>
        <n v="122"/>
        <n v="45"/>
        <n v="73"/>
        <n v="95"/>
        <n v="126"/>
        <n v="110"/>
        <n v="163"/>
        <n v="146"/>
        <n v="9"/>
        <n v="67"/>
        <n v="115"/>
        <n v="160"/>
        <n v="90"/>
        <n v="171"/>
        <n v="43"/>
        <n v="166"/>
        <n v="129"/>
        <n v="33"/>
        <n v="152"/>
        <n v="116"/>
        <n v="19"/>
        <n v="134"/>
        <n v="49"/>
        <n v="12"/>
        <n v="63"/>
        <n v="84"/>
        <n v="150"/>
        <n v="66"/>
        <n v="86"/>
        <n v="27"/>
        <n v="164"/>
        <n v="23"/>
        <n v="15"/>
        <n v="111"/>
        <n v="50"/>
        <n v="173"/>
        <n v="35"/>
        <n v="68"/>
        <n v="54"/>
        <n v="125"/>
        <n v="10"/>
        <n v="153"/>
        <n v="16"/>
        <n v="69"/>
        <n v="41"/>
        <n v="4"/>
        <n v="82"/>
        <n v="104"/>
        <n v="6"/>
        <n v="140"/>
        <n v="103"/>
        <n v="52"/>
        <n v="14"/>
        <n v="105"/>
        <n v="7"/>
        <n v="132"/>
        <n v="34"/>
        <n v="176"/>
        <n v="59"/>
        <n v="26"/>
        <n v="55"/>
        <n v="29"/>
        <n v="91"/>
        <n v="114"/>
        <n v="98"/>
        <n v="119"/>
        <n v="139"/>
        <n v="113"/>
        <n v="8"/>
        <n v="121"/>
        <n v="165"/>
        <n v="169"/>
        <n v="100"/>
        <n v="89"/>
        <n v="157"/>
        <n v="133"/>
        <n v="135"/>
        <n v="46"/>
        <n v="178"/>
        <n v="148"/>
        <n v="36"/>
        <n v="3"/>
        <n v="154"/>
        <n v="179"/>
        <n v="170"/>
        <n v="156"/>
        <n v="112"/>
        <n v="118"/>
        <n v="71"/>
        <n v="24"/>
        <n v="44"/>
        <n v="75"/>
        <n v="124"/>
        <n v="145"/>
        <n v="53"/>
        <n v="92"/>
        <n v="2"/>
        <n v="97"/>
        <n v="30"/>
        <n v="128"/>
        <n v="136"/>
        <n v="79"/>
        <n v="60"/>
        <n v="109"/>
        <n v="81"/>
        <n v="20"/>
        <n v="174"/>
        <n v="21"/>
        <n v="13"/>
      </sharedItems>
    </cacheField>
    <cacheField name="Status" numFmtId="0">
      <sharedItems count="6">
        <s v="New"/>
        <s v="Follow-Up"/>
        <s v="Contacted"/>
        <s v="Lost"/>
        <s v="Converted"/>
        <s v="Qualified"/>
      </sharedItems>
    </cacheField>
    <cacheField name="Potential_Value" numFmtId="0">
      <sharedItems containsSemiMixedTypes="0" containsString="0" containsNumber="1" containsInteger="1" minValue="11540" maxValue="249677"/>
    </cacheField>
    <cacheField name="Revenue Category" numFmtId="0">
      <sharedItems/>
    </cacheField>
    <cacheField name="Assigned_To" numFmtId="0">
      <sharedItems/>
    </cacheField>
  </cacheFields>
  <extLst>
    <ext xmlns:x14="http://schemas.microsoft.com/office/spreadsheetml/2009/9/main" uri="{725AE2AE-9491-48be-B2B4-4EB974FC3084}">
      <x14:pivotCacheDefinition pivotCacheId="1873600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LD20260001"/>
    <s v="Pooja Patel"/>
    <n v="9819722233"/>
    <s v="pooja.patel405@gmail.com"/>
    <x v="0"/>
    <x v="0"/>
    <x v="0"/>
    <d v="2026-05-18T00:00:00"/>
    <x v="0"/>
    <x v="0"/>
    <x v="0"/>
    <n v="248473"/>
    <s v="High"/>
    <s v="Vikas"/>
  </r>
  <r>
    <s v="LD20260002"/>
    <s v="Karan Sharma"/>
    <n v="9566126116"/>
    <s v="karan.sharma89@gmail.com"/>
    <x v="1"/>
    <x v="1"/>
    <x v="0"/>
    <d v="2026-01-18T00:00:00"/>
    <x v="1"/>
    <x v="1"/>
    <x v="1"/>
    <n v="25495"/>
    <s v="Low"/>
    <s v="Vikas"/>
  </r>
  <r>
    <s v="LD20260003"/>
    <s v="Arjun Gupta"/>
    <n v="9318302983"/>
    <s v="arjun.gupta646@gmail.com"/>
    <x v="2"/>
    <x v="2"/>
    <x v="1"/>
    <d v="2026-05-28T00:00:00"/>
    <x v="0"/>
    <x v="2"/>
    <x v="2"/>
    <n v="22211"/>
    <s v="Low"/>
    <s v="Vikas"/>
  </r>
  <r>
    <s v="LD20260004"/>
    <s v="Rohan Joshi"/>
    <n v="9782569631"/>
    <s v="rohan.joshi430@gmail.com"/>
    <x v="2"/>
    <x v="0"/>
    <x v="0"/>
    <d v="2026-01-31T00:00:00"/>
    <x v="1"/>
    <x v="3"/>
    <x v="3"/>
    <n v="57376"/>
    <s v="Low"/>
    <s v="Rahul"/>
  </r>
  <r>
    <s v="LD20260005"/>
    <s v="Yash Yadav"/>
    <n v="9759982352"/>
    <s v="yash.yadav655@gmail.com"/>
    <x v="3"/>
    <x v="3"/>
    <x v="1"/>
    <d v="2026-01-25T00:00:00"/>
    <x v="1"/>
    <x v="4"/>
    <x v="4"/>
    <n v="25624"/>
    <s v="Low"/>
    <s v="Vikas"/>
  </r>
  <r>
    <s v="LD20260006"/>
    <s v="Karan Kulkarni"/>
    <n v="9367390467"/>
    <s v="karan.kulkarni697@gmail.com"/>
    <x v="4"/>
    <x v="4"/>
    <x v="2"/>
    <d v="2026-03-22T00:00:00"/>
    <x v="2"/>
    <x v="5"/>
    <x v="5"/>
    <n v="88582"/>
    <s v="Low"/>
    <s v="Priya"/>
  </r>
  <r>
    <s v="LD20260007"/>
    <s v="Rahul Jain"/>
    <n v="9720986393"/>
    <s v="rahul.jain799@gmail.com"/>
    <x v="5"/>
    <x v="4"/>
    <x v="2"/>
    <d v="2026-05-28T00:00:00"/>
    <x v="0"/>
    <x v="2"/>
    <x v="5"/>
    <n v="201219"/>
    <s v="High"/>
    <s v="Sneha"/>
  </r>
  <r>
    <s v="LD20260008"/>
    <s v="Sneha Yadav"/>
    <n v="9878710461"/>
    <s v="sneha.yadav75@gmail.com"/>
    <x v="6"/>
    <x v="5"/>
    <x v="3"/>
    <d v="2026-04-18T00:00:00"/>
    <x v="3"/>
    <x v="6"/>
    <x v="2"/>
    <n v="138178"/>
    <s v="High"/>
    <s v="Sneha"/>
  </r>
  <r>
    <s v="LD20260009"/>
    <s v="Vivaan Mishra"/>
    <n v="9386910239"/>
    <s v="vivaan.mishra80@gmail.com"/>
    <x v="7"/>
    <x v="3"/>
    <x v="3"/>
    <d v="2026-03-22T00:00:00"/>
    <x v="2"/>
    <x v="5"/>
    <x v="4"/>
    <n v="140200"/>
    <s v="High"/>
    <s v="Vikas"/>
  </r>
  <r>
    <s v="LD20260010"/>
    <s v="Sakshi Verma"/>
    <n v="9846230636"/>
    <s v="sakshi.verma861@gmail.com"/>
    <x v="0"/>
    <x v="1"/>
    <x v="3"/>
    <d v="2026-05-02T00:00:00"/>
    <x v="0"/>
    <x v="7"/>
    <x v="3"/>
    <n v="161505"/>
    <s v="High"/>
    <s v="Sneha"/>
  </r>
  <r>
    <s v="LD20260011"/>
    <s v="Sneha Jain"/>
    <n v="9613028344"/>
    <s v="sneha.jain396@gmail.com"/>
    <x v="7"/>
    <x v="6"/>
    <x v="0"/>
    <d v="2026-04-29T00:00:00"/>
    <x v="3"/>
    <x v="8"/>
    <x v="0"/>
    <n v="139418"/>
    <s v="High"/>
    <s v="Rahul"/>
  </r>
  <r>
    <s v="LD20260012"/>
    <s v="Karan Agrawal"/>
    <n v="9743234300"/>
    <s v="karan.agrawal295@gmail.com"/>
    <x v="8"/>
    <x v="5"/>
    <x v="2"/>
    <d v="2026-04-12T00:00:00"/>
    <x v="3"/>
    <x v="9"/>
    <x v="0"/>
    <n v="53611"/>
    <s v="Low"/>
    <s v="Sneha"/>
  </r>
  <r>
    <s v="LD20260013"/>
    <s v="Ishita Singh"/>
    <n v="9767783637"/>
    <s v="ishita.singh285@gmail.com"/>
    <x v="5"/>
    <x v="3"/>
    <x v="2"/>
    <d v="2026-05-21T00:00:00"/>
    <x v="0"/>
    <x v="10"/>
    <x v="5"/>
    <n v="188971"/>
    <s v="High"/>
    <s v="Sneha"/>
  </r>
  <r>
    <s v="LD20260014"/>
    <s v="Neha Patel"/>
    <n v="9730306925"/>
    <s v="neha.patel85@gmail.com"/>
    <x v="1"/>
    <x v="1"/>
    <x v="2"/>
    <d v="2026-03-01T00:00:00"/>
    <x v="2"/>
    <x v="11"/>
    <x v="4"/>
    <n v="57800"/>
    <s v="Low"/>
    <s v="Amit"/>
  </r>
  <r>
    <s v="LD20260015"/>
    <s v="Sneha Sharma"/>
    <n v="9581751584"/>
    <s v="sneha.sharma150@gmail.com"/>
    <x v="2"/>
    <x v="4"/>
    <x v="3"/>
    <d v="2026-04-05T00:00:00"/>
    <x v="3"/>
    <x v="12"/>
    <x v="2"/>
    <n v="191008"/>
    <s v="High"/>
    <s v="Vikas"/>
  </r>
  <r>
    <s v="LD20260016"/>
    <s v="Akash Mishra"/>
    <n v="9871289682"/>
    <s v="akash.mishra693@gmail.com"/>
    <x v="3"/>
    <x v="2"/>
    <x v="2"/>
    <d v="2026-06-24T00:00:00"/>
    <x v="4"/>
    <x v="13"/>
    <x v="1"/>
    <n v="113316"/>
    <s v="High"/>
    <s v="Rahul"/>
  </r>
  <r>
    <s v="LD20260017"/>
    <s v="Vikas Mishra"/>
    <n v="9835583179"/>
    <s v="vikas.mishra411@gmail.com"/>
    <x v="1"/>
    <x v="2"/>
    <x v="4"/>
    <d v="2026-01-18T00:00:00"/>
    <x v="1"/>
    <x v="1"/>
    <x v="0"/>
    <n v="99143"/>
    <s v="Low"/>
    <s v="Vikas"/>
  </r>
  <r>
    <s v="LD20260018"/>
    <s v="Vivaan Verma"/>
    <n v="9330302435"/>
    <s v="vivaan.verma1@gmail.com"/>
    <x v="0"/>
    <x v="0"/>
    <x v="0"/>
    <d v="2026-05-18T00:00:00"/>
    <x v="0"/>
    <x v="0"/>
    <x v="0"/>
    <n v="28432"/>
    <s v="Low"/>
    <s v="Priya"/>
  </r>
  <r>
    <s v="LD20260019"/>
    <s v="Akash Deshmukh"/>
    <n v="9656625835"/>
    <s v="akash.deshmukh153@gmail.com"/>
    <x v="7"/>
    <x v="2"/>
    <x v="1"/>
    <d v="2026-06-04T00:00:00"/>
    <x v="4"/>
    <x v="14"/>
    <x v="0"/>
    <n v="232543"/>
    <s v="High"/>
    <s v="Sneha"/>
  </r>
  <r>
    <s v="LD20260020"/>
    <s v="Sakshi Kulkarni"/>
    <n v="9621527244"/>
    <s v="sakshi.kulkarni496@gmail.com"/>
    <x v="0"/>
    <x v="3"/>
    <x v="3"/>
    <d v="2026-02-06T00:00:00"/>
    <x v="5"/>
    <x v="15"/>
    <x v="3"/>
    <n v="79404"/>
    <s v="Low"/>
    <s v="Sneha"/>
  </r>
  <r>
    <s v="LD20260021"/>
    <s v="Rahul Singh"/>
    <n v="9780901507"/>
    <s v="rahul.singh24@gmail.com"/>
    <x v="6"/>
    <x v="3"/>
    <x v="0"/>
    <d v="2026-04-03T00:00:00"/>
    <x v="3"/>
    <x v="16"/>
    <x v="0"/>
    <n v="208742"/>
    <s v="High"/>
    <s v="Vikas"/>
  </r>
  <r>
    <s v="LD20260022"/>
    <s v="Sneha Mishra"/>
    <n v="9845046288"/>
    <s v="sneha.mishra885@gmail.com"/>
    <x v="7"/>
    <x v="6"/>
    <x v="3"/>
    <d v="2026-05-13T00:00:00"/>
    <x v="0"/>
    <x v="17"/>
    <x v="2"/>
    <n v="149615"/>
    <s v="High"/>
    <s v="Vikas"/>
  </r>
  <r>
    <s v="LD20260023"/>
    <s v="Aman Mehta"/>
    <n v="9792306098"/>
    <s v="aman.mehta652@gmail.com"/>
    <x v="1"/>
    <x v="5"/>
    <x v="2"/>
    <d v="2026-02-19T00:00:00"/>
    <x v="5"/>
    <x v="18"/>
    <x v="3"/>
    <n v="220587"/>
    <s v="High"/>
    <s v="Priya"/>
  </r>
  <r>
    <s v="LD20260024"/>
    <s v="Karan Singh"/>
    <n v="9613889649"/>
    <s v="karan.singh505@gmail.com"/>
    <x v="5"/>
    <x v="2"/>
    <x v="3"/>
    <d v="2026-01-08T00:00:00"/>
    <x v="1"/>
    <x v="19"/>
    <x v="2"/>
    <n v="191540"/>
    <s v="High"/>
    <s v="Vikas"/>
  </r>
  <r>
    <s v="LD20260025"/>
    <s v="Ananya Kulkarni"/>
    <n v="9658940600"/>
    <s v="ananya.kulkarni828@gmail.com"/>
    <x v="1"/>
    <x v="1"/>
    <x v="4"/>
    <d v="2026-01-21T00:00:00"/>
    <x v="1"/>
    <x v="20"/>
    <x v="1"/>
    <n v="61565"/>
    <s v="Low"/>
    <s v="Amit"/>
  </r>
  <r>
    <s v="LD20260026"/>
    <s v="Karan Kulkarni"/>
    <n v="9310256129"/>
    <s v="karan.kulkarni640@gmail.com"/>
    <x v="7"/>
    <x v="5"/>
    <x v="1"/>
    <d v="2026-05-03T00:00:00"/>
    <x v="0"/>
    <x v="21"/>
    <x v="3"/>
    <n v="41432"/>
    <s v="Low"/>
    <s v="Sneha"/>
  </r>
  <r>
    <s v="LD20260027"/>
    <s v="Karan Kulkarni"/>
    <n v="9768240437"/>
    <s v="karan.kulkarni911@gmail.com"/>
    <x v="7"/>
    <x v="1"/>
    <x v="2"/>
    <d v="2026-06-12T00:00:00"/>
    <x v="4"/>
    <x v="22"/>
    <x v="1"/>
    <n v="115221"/>
    <s v="High"/>
    <s v="Rahul"/>
  </r>
  <r>
    <s v="LD20260028"/>
    <s v="Rahul Patel"/>
    <n v="9830287103"/>
    <s v="rahul.patel131@gmail.com"/>
    <x v="4"/>
    <x v="5"/>
    <x v="4"/>
    <d v="2026-06-01T00:00:00"/>
    <x v="4"/>
    <x v="23"/>
    <x v="4"/>
    <n v="226664"/>
    <s v="High"/>
    <s v="Vikas"/>
  </r>
  <r>
    <s v="LD20260029"/>
    <s v="Vikas Mishra"/>
    <n v="9630926211"/>
    <s v="vikas.mishra960@gmail.com"/>
    <x v="3"/>
    <x v="6"/>
    <x v="1"/>
    <d v="2026-05-21T00:00:00"/>
    <x v="0"/>
    <x v="10"/>
    <x v="0"/>
    <n v="219546"/>
    <s v="High"/>
    <s v="Rahul"/>
  </r>
  <r>
    <s v="LD20260030"/>
    <s v="Aman Jain"/>
    <n v="9768224916"/>
    <s v="aman.jain957@gmail.com"/>
    <x v="1"/>
    <x v="1"/>
    <x v="3"/>
    <d v="2026-02-19T00:00:00"/>
    <x v="5"/>
    <x v="18"/>
    <x v="2"/>
    <n v="86799"/>
    <s v="Low"/>
    <s v="Vikas"/>
  </r>
  <r>
    <s v="LD20260031"/>
    <s v="Neha Agrawal"/>
    <n v="9644811353"/>
    <s v="neha.agrawal601@gmail.com"/>
    <x v="8"/>
    <x v="5"/>
    <x v="4"/>
    <d v="2026-05-20T00:00:00"/>
    <x v="0"/>
    <x v="24"/>
    <x v="0"/>
    <n v="248555"/>
    <s v="High"/>
    <s v="Amit"/>
  </r>
  <r>
    <s v="LD20260032"/>
    <s v="Sakshi Mishra"/>
    <n v="9366455770"/>
    <s v="sakshi.mishra598@gmail.com"/>
    <x v="6"/>
    <x v="4"/>
    <x v="4"/>
    <d v="2026-05-09T00:00:00"/>
    <x v="0"/>
    <x v="25"/>
    <x v="4"/>
    <n v="143836"/>
    <s v="High"/>
    <s v="Rahul"/>
  </r>
  <r>
    <s v="LD20260033"/>
    <s v="Sakshi Agrawal"/>
    <n v="9310527808"/>
    <s v="sakshi.agrawal188@gmail.com"/>
    <x v="6"/>
    <x v="6"/>
    <x v="2"/>
    <d v="2026-02-08T00:00:00"/>
    <x v="5"/>
    <x v="26"/>
    <x v="4"/>
    <n v="200105"/>
    <s v="High"/>
    <s v="Rahul"/>
  </r>
  <r>
    <s v="LD20260034"/>
    <s v="Nikhil Sharma"/>
    <n v="9381232885"/>
    <s v="nikhil.sharma334@gmail.com"/>
    <x v="4"/>
    <x v="5"/>
    <x v="1"/>
    <d v="2026-05-23T00:00:00"/>
    <x v="0"/>
    <x v="27"/>
    <x v="4"/>
    <n v="24895"/>
    <s v="Low"/>
    <s v="Priya"/>
  </r>
  <r>
    <s v="LD20260035"/>
    <s v="Karan Joshi"/>
    <n v="9878144218"/>
    <s v="karan.joshi44@gmail.com"/>
    <x v="3"/>
    <x v="1"/>
    <x v="1"/>
    <d v="2026-04-26T00:00:00"/>
    <x v="3"/>
    <x v="28"/>
    <x v="1"/>
    <n v="95357"/>
    <s v="Low"/>
    <s v="Vikas"/>
  </r>
  <r>
    <s v="LD20260036"/>
    <s v="Aman Yadav"/>
    <n v="9747203213"/>
    <s v="aman.yadav525@gmail.com"/>
    <x v="3"/>
    <x v="4"/>
    <x v="2"/>
    <d v="2026-04-26T00:00:00"/>
    <x v="3"/>
    <x v="28"/>
    <x v="4"/>
    <n v="74921"/>
    <s v="Low"/>
    <s v="Vikas"/>
  </r>
  <r>
    <s v="LD20260037"/>
    <s v="Priya Borkar"/>
    <n v="9770066221"/>
    <s v="priya.borkar573@gmail.com"/>
    <x v="8"/>
    <x v="1"/>
    <x v="2"/>
    <d v="2026-02-05T00:00:00"/>
    <x v="5"/>
    <x v="29"/>
    <x v="1"/>
    <n v="92832"/>
    <s v="Low"/>
    <s v="Rahul"/>
  </r>
  <r>
    <s v="LD20260038"/>
    <s v="Neha Deshmukh"/>
    <n v="9799855030"/>
    <s v="neha.deshmukh75@gmail.com"/>
    <x v="0"/>
    <x v="5"/>
    <x v="4"/>
    <d v="2026-03-19T00:00:00"/>
    <x v="2"/>
    <x v="30"/>
    <x v="3"/>
    <n v="178678"/>
    <s v="High"/>
    <s v="Amit"/>
  </r>
  <r>
    <s v="LD20260039"/>
    <s v="Rohan Joshi"/>
    <n v="9772778440"/>
    <s v="rohan.joshi905@gmail.com"/>
    <x v="0"/>
    <x v="2"/>
    <x v="2"/>
    <d v="2026-02-26T00:00:00"/>
    <x v="5"/>
    <x v="31"/>
    <x v="2"/>
    <n v="185068"/>
    <s v="High"/>
    <s v="Priya"/>
  </r>
  <r>
    <s v="LD20260040"/>
    <s v="Rahul Jain"/>
    <n v="9364198427"/>
    <s v="rahul.jain442@gmail.com"/>
    <x v="8"/>
    <x v="6"/>
    <x v="3"/>
    <d v="2026-03-28T00:00:00"/>
    <x v="2"/>
    <x v="32"/>
    <x v="5"/>
    <n v="34168"/>
    <s v="Low"/>
    <s v="Amit"/>
  </r>
  <r>
    <s v="LD20260041"/>
    <s v="Aarav Mehta"/>
    <n v="9569117285"/>
    <s v="aarav.mehta568@gmail.com"/>
    <x v="8"/>
    <x v="0"/>
    <x v="0"/>
    <d v="2026-01-05T00:00:00"/>
    <x v="1"/>
    <x v="33"/>
    <x v="4"/>
    <n v="87451"/>
    <s v="Low"/>
    <s v="Vikas"/>
  </r>
  <r>
    <s v="LD20260042"/>
    <s v="Aditya Verma"/>
    <n v="9724063279"/>
    <s v="aditya.verma941@gmail.com"/>
    <x v="5"/>
    <x v="0"/>
    <x v="1"/>
    <d v="2026-01-22T00:00:00"/>
    <x v="1"/>
    <x v="34"/>
    <x v="2"/>
    <n v="80895"/>
    <s v="Low"/>
    <s v="Priya"/>
  </r>
  <r>
    <s v="LD20260043"/>
    <s v="Aditi Patil"/>
    <n v="9664485395"/>
    <s v="aditi.patil934@gmail.com"/>
    <x v="3"/>
    <x v="4"/>
    <x v="0"/>
    <d v="2026-02-08T00:00:00"/>
    <x v="5"/>
    <x v="26"/>
    <x v="1"/>
    <n v="193610"/>
    <s v="High"/>
    <s v="Amit"/>
  </r>
  <r>
    <s v="LD20260044"/>
    <s v="Aditya Joshi"/>
    <n v="9767085086"/>
    <s v="aditya.joshi59@gmail.com"/>
    <x v="5"/>
    <x v="1"/>
    <x v="1"/>
    <d v="2026-01-19T00:00:00"/>
    <x v="1"/>
    <x v="35"/>
    <x v="5"/>
    <n v="31952"/>
    <s v="Low"/>
    <s v="Vikas"/>
  </r>
  <r>
    <s v="LD20260045"/>
    <s v="Neha Verma"/>
    <n v="9870904451"/>
    <s v="neha.verma271@gmail.com"/>
    <x v="7"/>
    <x v="4"/>
    <x v="2"/>
    <d v="2026-01-03T00:00:00"/>
    <x v="1"/>
    <x v="36"/>
    <x v="5"/>
    <n v="172975"/>
    <s v="High"/>
    <s v="Priya"/>
  </r>
  <r>
    <s v="LD20260046"/>
    <s v="Vivaan Singh"/>
    <n v="9724690326"/>
    <s v="vivaan.singh727@gmail.com"/>
    <x v="5"/>
    <x v="1"/>
    <x v="4"/>
    <d v="2026-02-11T00:00:00"/>
    <x v="5"/>
    <x v="37"/>
    <x v="2"/>
    <n v="91786"/>
    <s v="Low"/>
    <s v="Amit"/>
  </r>
  <r>
    <s v="LD20260047"/>
    <s v="Aman Agrawal"/>
    <n v="9669819079"/>
    <s v="aman.agrawal211@gmail.com"/>
    <x v="6"/>
    <x v="0"/>
    <x v="3"/>
    <d v="2026-05-09T00:00:00"/>
    <x v="0"/>
    <x v="25"/>
    <x v="0"/>
    <n v="75653"/>
    <s v="Low"/>
    <s v="Rahul"/>
  </r>
  <r>
    <s v="LD20260048"/>
    <s v="Aarav Sharma"/>
    <n v="9383960561"/>
    <s v="aarav.sharma751@gmail.com"/>
    <x v="3"/>
    <x v="2"/>
    <x v="4"/>
    <d v="2026-02-18T00:00:00"/>
    <x v="5"/>
    <x v="38"/>
    <x v="1"/>
    <n v="37861"/>
    <s v="Low"/>
    <s v="Sneha"/>
  </r>
  <r>
    <s v="LD20260049"/>
    <s v="Vikas Singh"/>
    <n v="9578006237"/>
    <s v="vikas.singh855@gmail.com"/>
    <x v="1"/>
    <x v="6"/>
    <x v="3"/>
    <d v="2026-03-20T00:00:00"/>
    <x v="2"/>
    <x v="39"/>
    <x v="2"/>
    <n v="228178"/>
    <s v="High"/>
    <s v="Priya"/>
  </r>
  <r>
    <s v="LD20260050"/>
    <s v="Ishita Mehta"/>
    <n v="9711913291"/>
    <s v="ishita.mehta56@gmail.com"/>
    <x v="5"/>
    <x v="2"/>
    <x v="4"/>
    <d v="2026-01-19T00:00:00"/>
    <x v="1"/>
    <x v="35"/>
    <x v="0"/>
    <n v="32147"/>
    <s v="Low"/>
    <s v="Sneha"/>
  </r>
  <r>
    <s v="LD20260051"/>
    <s v="Aman Mishra"/>
    <n v="9690366678"/>
    <s v="aman.mishra995@gmail.com"/>
    <x v="5"/>
    <x v="1"/>
    <x v="2"/>
    <d v="2026-03-04T00:00:00"/>
    <x v="2"/>
    <x v="40"/>
    <x v="2"/>
    <n v="51296"/>
    <s v="Low"/>
    <s v="Amit"/>
  </r>
  <r>
    <s v="LD20260052"/>
    <s v="Sakshi Sharma"/>
    <n v="9654147722"/>
    <s v="sakshi.sharma270@gmail.com"/>
    <x v="7"/>
    <x v="6"/>
    <x v="1"/>
    <d v="2026-05-21T00:00:00"/>
    <x v="0"/>
    <x v="10"/>
    <x v="5"/>
    <n v="67112"/>
    <s v="Low"/>
    <s v="Amit"/>
  </r>
  <r>
    <s v="LD20260053"/>
    <s v="Rahul Sharma"/>
    <n v="9521259600"/>
    <s v="rahul.sharma344@gmail.com"/>
    <x v="5"/>
    <x v="4"/>
    <x v="4"/>
    <d v="2026-05-02T00:00:00"/>
    <x v="0"/>
    <x v="7"/>
    <x v="2"/>
    <n v="142313"/>
    <s v="High"/>
    <s v="Rahul"/>
  </r>
  <r>
    <s v="LD20260054"/>
    <s v="Aditya Joshi"/>
    <n v="9829309252"/>
    <s v="aditya.joshi837@gmail.com"/>
    <x v="2"/>
    <x v="1"/>
    <x v="2"/>
    <d v="2026-04-13T00:00:00"/>
    <x v="3"/>
    <x v="41"/>
    <x v="0"/>
    <n v="88550"/>
    <s v="Low"/>
    <s v="Amit"/>
  </r>
  <r>
    <s v="LD20260055"/>
    <s v="Neha Verma"/>
    <n v="9330837589"/>
    <s v="neha.verma600@gmail.com"/>
    <x v="2"/>
    <x v="2"/>
    <x v="3"/>
    <d v="2026-06-18T00:00:00"/>
    <x v="4"/>
    <x v="42"/>
    <x v="3"/>
    <n v="139549"/>
    <s v="High"/>
    <s v="Priya"/>
  </r>
  <r>
    <s v="LD20260056"/>
    <s v="Sneha Jain"/>
    <n v="9715877134"/>
    <s v="sneha.jain634@gmail.com"/>
    <x v="8"/>
    <x v="3"/>
    <x v="0"/>
    <d v="2026-05-12T00:00:00"/>
    <x v="0"/>
    <x v="43"/>
    <x v="2"/>
    <n v="248521"/>
    <s v="High"/>
    <s v="Vikas"/>
  </r>
  <r>
    <s v="LD20260057"/>
    <s v="Aman Yadav"/>
    <n v="9888391409"/>
    <s v="aman.yadav855@gmail.com"/>
    <x v="1"/>
    <x v="1"/>
    <x v="1"/>
    <d v="2026-06-24T00:00:00"/>
    <x v="4"/>
    <x v="13"/>
    <x v="0"/>
    <n v="44889"/>
    <s v="Low"/>
    <s v="Amit"/>
  </r>
  <r>
    <s v="LD20260058"/>
    <s v="Arjun Deshmukh"/>
    <n v="9584964258"/>
    <s v="arjun.deshmukh856@gmail.com"/>
    <x v="9"/>
    <x v="3"/>
    <x v="0"/>
    <d v="2026-01-13T00:00:00"/>
    <x v="1"/>
    <x v="44"/>
    <x v="3"/>
    <n v="74109"/>
    <s v="Low"/>
    <s v="Sneha"/>
  </r>
  <r>
    <s v="LD20260059"/>
    <s v="Priya Sharma"/>
    <n v="9877507631"/>
    <s v="priya.sharma468@gmail.com"/>
    <x v="0"/>
    <x v="3"/>
    <x v="0"/>
    <d v="2026-05-18T00:00:00"/>
    <x v="0"/>
    <x v="0"/>
    <x v="0"/>
    <n v="205488"/>
    <s v="High"/>
    <s v="Sneha"/>
  </r>
  <r>
    <s v="LD20260060"/>
    <s v="Priya Agrawal"/>
    <n v="9641512392"/>
    <s v="priya.agrawal77@gmail.com"/>
    <x v="1"/>
    <x v="3"/>
    <x v="2"/>
    <d v="2026-02-22T00:00:00"/>
    <x v="5"/>
    <x v="45"/>
    <x v="1"/>
    <n v="231650"/>
    <s v="High"/>
    <s v="Sneha"/>
  </r>
  <r>
    <s v="LD20260061"/>
    <s v="Aditya Kulkarni"/>
    <n v="9616274341"/>
    <s v="aditya.kulkarni933@gmail.com"/>
    <x v="1"/>
    <x v="1"/>
    <x v="0"/>
    <d v="2026-06-07T00:00:00"/>
    <x v="4"/>
    <x v="46"/>
    <x v="2"/>
    <n v="96972"/>
    <s v="Low"/>
    <s v="Amit"/>
  </r>
  <r>
    <s v="LD20260062"/>
    <s v="Sneha Yadav"/>
    <n v="9711673589"/>
    <s v="sneha.yadav582@gmail.com"/>
    <x v="9"/>
    <x v="2"/>
    <x v="3"/>
    <d v="2026-05-04T00:00:00"/>
    <x v="0"/>
    <x v="47"/>
    <x v="3"/>
    <n v="36088"/>
    <s v="Low"/>
    <s v="Priya"/>
  </r>
  <r>
    <s v="LD20260063"/>
    <s v="Vikas Joshi"/>
    <n v="9348325005"/>
    <s v="vikas.joshi726@gmail.com"/>
    <x v="4"/>
    <x v="2"/>
    <x v="1"/>
    <d v="2026-04-29T00:00:00"/>
    <x v="3"/>
    <x v="8"/>
    <x v="4"/>
    <n v="62232"/>
    <s v="Low"/>
    <s v="Amit"/>
  </r>
  <r>
    <s v="LD20260064"/>
    <s v="Aditya Borkar"/>
    <n v="9848867961"/>
    <s v="aditya.borkar485@gmail.com"/>
    <x v="0"/>
    <x v="5"/>
    <x v="0"/>
    <d v="2026-04-28T00:00:00"/>
    <x v="3"/>
    <x v="48"/>
    <x v="1"/>
    <n v="80426"/>
    <s v="Low"/>
    <s v="Sneha"/>
  </r>
  <r>
    <s v="LD20260065"/>
    <s v="Karan Borkar"/>
    <n v="9720014369"/>
    <s v="karan.borkar969@gmail.com"/>
    <x v="0"/>
    <x v="6"/>
    <x v="0"/>
    <d v="2026-05-29T00:00:00"/>
    <x v="0"/>
    <x v="49"/>
    <x v="5"/>
    <n v="104254"/>
    <s v="High"/>
    <s v="Priya"/>
  </r>
  <r>
    <s v="LD20260066"/>
    <s v="Akash Patil"/>
    <n v="9347522967"/>
    <s v="akash.patil647@gmail.com"/>
    <x v="7"/>
    <x v="6"/>
    <x v="2"/>
    <d v="2026-01-29T00:00:00"/>
    <x v="1"/>
    <x v="50"/>
    <x v="1"/>
    <n v="113305"/>
    <s v="High"/>
    <s v="Rahul"/>
  </r>
  <r>
    <s v="LD20260067"/>
    <s v="Rahul Sharma"/>
    <n v="9570500023"/>
    <s v="rahul.sharma973@gmail.com"/>
    <x v="5"/>
    <x v="3"/>
    <x v="4"/>
    <d v="2026-04-14T00:00:00"/>
    <x v="3"/>
    <x v="51"/>
    <x v="1"/>
    <n v="100167"/>
    <s v="High"/>
    <s v="Sneha"/>
  </r>
  <r>
    <s v="LD20260068"/>
    <s v="Pooja Verma"/>
    <n v="9610233724"/>
    <s v="pooja.verma861@gmail.com"/>
    <x v="7"/>
    <x v="5"/>
    <x v="2"/>
    <d v="2026-03-25T00:00:00"/>
    <x v="2"/>
    <x v="52"/>
    <x v="0"/>
    <n v="61312"/>
    <s v="Low"/>
    <s v="Rahul"/>
  </r>
  <r>
    <s v="LD20260069"/>
    <s v="Sneha Joshi"/>
    <n v="9862734062"/>
    <s v="sneha.joshi382@gmail.com"/>
    <x v="2"/>
    <x v="1"/>
    <x v="3"/>
    <d v="2026-04-10T00:00:00"/>
    <x v="3"/>
    <x v="53"/>
    <x v="1"/>
    <n v="208090"/>
    <s v="High"/>
    <s v="Amit"/>
  </r>
  <r>
    <s v="LD20260070"/>
    <s v="Vivaan Joshi"/>
    <n v="9898849207"/>
    <s v="vivaan.joshi105@gmail.com"/>
    <x v="6"/>
    <x v="6"/>
    <x v="3"/>
    <d v="2026-03-15T00:00:00"/>
    <x v="2"/>
    <x v="54"/>
    <x v="1"/>
    <n v="143945"/>
    <s v="High"/>
    <s v="Amit"/>
  </r>
  <r>
    <s v="LD20260071"/>
    <s v="Karan Agrawal"/>
    <n v="9513893832"/>
    <s v="karan.agrawal383@gmail.com"/>
    <x v="8"/>
    <x v="4"/>
    <x v="0"/>
    <d v="2026-06-11T00:00:00"/>
    <x v="4"/>
    <x v="55"/>
    <x v="2"/>
    <n v="198631"/>
    <s v="High"/>
    <s v="Rahul"/>
  </r>
  <r>
    <s v="LD20260072"/>
    <s v="Vivaan Borkar"/>
    <n v="9570513461"/>
    <s v="vivaan.borkar750@gmail.com"/>
    <x v="6"/>
    <x v="3"/>
    <x v="3"/>
    <d v="2026-06-07T00:00:00"/>
    <x v="4"/>
    <x v="46"/>
    <x v="1"/>
    <n v="22839"/>
    <s v="Low"/>
    <s v="Vikas"/>
  </r>
  <r>
    <s v="LD20260073"/>
    <s v="Rohan Patel"/>
    <n v="9556125647"/>
    <s v="rohan.patel484@gmail.com"/>
    <x v="5"/>
    <x v="0"/>
    <x v="3"/>
    <d v="2026-03-14T00:00:00"/>
    <x v="2"/>
    <x v="56"/>
    <x v="1"/>
    <n v="181965"/>
    <s v="High"/>
    <s v="Priya"/>
  </r>
  <r>
    <s v="LD20260074"/>
    <s v="Sneha Kulkarni"/>
    <n v="9526071569"/>
    <s v="sneha.kulkarni571@gmail.com"/>
    <x v="6"/>
    <x v="1"/>
    <x v="4"/>
    <d v="2026-02-12T00:00:00"/>
    <x v="5"/>
    <x v="57"/>
    <x v="4"/>
    <n v="247491"/>
    <s v="High"/>
    <s v="Sneha"/>
  </r>
  <r>
    <s v="LD20260075"/>
    <s v="Nikhil Gupta"/>
    <n v="9670392668"/>
    <s v="nikhil.gupta464@gmail.com"/>
    <x v="6"/>
    <x v="4"/>
    <x v="4"/>
    <d v="2026-04-20T00:00:00"/>
    <x v="3"/>
    <x v="58"/>
    <x v="2"/>
    <n v="33780"/>
    <s v="Low"/>
    <s v="Priya"/>
  </r>
  <r>
    <s v="LD20260076"/>
    <s v="Pooja Singh"/>
    <n v="9642095026"/>
    <s v="pooja.singh94@gmail.com"/>
    <x v="5"/>
    <x v="5"/>
    <x v="0"/>
    <d v="2026-04-05T00:00:00"/>
    <x v="3"/>
    <x v="12"/>
    <x v="2"/>
    <n v="242587"/>
    <s v="High"/>
    <s v="Rahul"/>
  </r>
  <r>
    <s v="LD20260077"/>
    <s v="Aditi Deshmukh"/>
    <n v="9338186385"/>
    <s v="aditi.deshmukh424@gmail.com"/>
    <x v="5"/>
    <x v="0"/>
    <x v="1"/>
    <d v="2026-04-07T00:00:00"/>
    <x v="3"/>
    <x v="59"/>
    <x v="1"/>
    <n v="82749"/>
    <s v="Low"/>
    <s v="Vikas"/>
  </r>
  <r>
    <s v="LD20260078"/>
    <s v="Ananya Patel"/>
    <n v="9381031470"/>
    <s v="ananya.patel704@gmail.com"/>
    <x v="1"/>
    <x v="1"/>
    <x v="3"/>
    <d v="2026-06-11T00:00:00"/>
    <x v="4"/>
    <x v="55"/>
    <x v="2"/>
    <n v="110810"/>
    <s v="High"/>
    <s v="Sneha"/>
  </r>
  <r>
    <s v="LD20260079"/>
    <s v="Sakshi Deshmukh"/>
    <n v="9612927357"/>
    <s v="sakshi.deshmukh977@gmail.com"/>
    <x v="9"/>
    <x v="2"/>
    <x v="2"/>
    <d v="2026-02-02T00:00:00"/>
    <x v="5"/>
    <x v="60"/>
    <x v="4"/>
    <n v="138404"/>
    <s v="High"/>
    <s v="Rahul"/>
  </r>
  <r>
    <s v="LD20260080"/>
    <s v="Aditya Deshmukh"/>
    <n v="9372834219"/>
    <s v="aditya.deshmukh953@gmail.com"/>
    <x v="1"/>
    <x v="5"/>
    <x v="1"/>
    <d v="2026-04-25T00:00:00"/>
    <x v="3"/>
    <x v="61"/>
    <x v="2"/>
    <n v="50469"/>
    <s v="Low"/>
    <s v="Priya"/>
  </r>
  <r>
    <s v="LD20260081"/>
    <s v="Aman Mishra"/>
    <n v="9521408960"/>
    <s v="aman.mishra112@gmail.com"/>
    <x v="9"/>
    <x v="1"/>
    <x v="4"/>
    <d v="2026-05-22T00:00:00"/>
    <x v="0"/>
    <x v="62"/>
    <x v="2"/>
    <n v="159260"/>
    <s v="High"/>
    <s v="Rahul"/>
  </r>
  <r>
    <s v="LD20260082"/>
    <s v="Sneha Patel"/>
    <n v="9680900936"/>
    <s v="sneha.patel642@gmail.com"/>
    <x v="8"/>
    <x v="3"/>
    <x v="1"/>
    <d v="2026-06-12T00:00:00"/>
    <x v="4"/>
    <x v="22"/>
    <x v="0"/>
    <n v="28442"/>
    <s v="Low"/>
    <s v="Amit"/>
  </r>
  <r>
    <s v="LD20260083"/>
    <s v="Aman Yadav"/>
    <n v="9545014973"/>
    <s v="aman.yadav197@gmail.com"/>
    <x v="2"/>
    <x v="1"/>
    <x v="1"/>
    <d v="2026-02-27T00:00:00"/>
    <x v="5"/>
    <x v="63"/>
    <x v="4"/>
    <n v="89041"/>
    <s v="Low"/>
    <s v="Sneha"/>
  </r>
  <r>
    <s v="LD20260084"/>
    <s v="Priya Mehta"/>
    <n v="9773794252"/>
    <s v="priya.mehta661@gmail.com"/>
    <x v="1"/>
    <x v="4"/>
    <x v="4"/>
    <d v="2026-05-15T00:00:00"/>
    <x v="0"/>
    <x v="64"/>
    <x v="0"/>
    <n v="117953"/>
    <s v="High"/>
    <s v="Amit"/>
  </r>
  <r>
    <s v="LD20260085"/>
    <s v="Vivaan Sharma"/>
    <n v="9596861466"/>
    <s v="vivaan.sharma199@gmail.com"/>
    <x v="0"/>
    <x v="0"/>
    <x v="4"/>
    <d v="2026-04-18T00:00:00"/>
    <x v="3"/>
    <x v="6"/>
    <x v="3"/>
    <n v="121233"/>
    <s v="High"/>
    <s v="Amit"/>
  </r>
  <r>
    <s v="LD20260086"/>
    <s v="Neha Kulkarni"/>
    <n v="9666446184"/>
    <s v="neha.kulkarni35@gmail.com"/>
    <x v="8"/>
    <x v="6"/>
    <x v="1"/>
    <d v="2026-04-03T00:00:00"/>
    <x v="3"/>
    <x v="16"/>
    <x v="5"/>
    <n v="203758"/>
    <s v="High"/>
    <s v="Vikas"/>
  </r>
  <r>
    <s v="LD20260087"/>
    <s v="Aditya Gupta"/>
    <n v="9751837778"/>
    <s v="aditya.gupta508@gmail.com"/>
    <x v="1"/>
    <x v="2"/>
    <x v="4"/>
    <d v="2026-02-19T00:00:00"/>
    <x v="5"/>
    <x v="18"/>
    <x v="5"/>
    <n v="209352"/>
    <s v="High"/>
    <s v="Amit"/>
  </r>
  <r>
    <s v="LD20260088"/>
    <s v="Arjun Yadav"/>
    <n v="9335140753"/>
    <s v="arjun.yadav508@gmail.com"/>
    <x v="4"/>
    <x v="2"/>
    <x v="1"/>
    <d v="2026-02-27T00:00:00"/>
    <x v="5"/>
    <x v="63"/>
    <x v="4"/>
    <n v="48373"/>
    <s v="Low"/>
    <s v="Sneha"/>
  </r>
  <r>
    <s v="LD20260089"/>
    <s v="Vivaan Gupta"/>
    <n v="9329046982"/>
    <s v="vivaan.gupta25@gmail.com"/>
    <x v="9"/>
    <x v="3"/>
    <x v="1"/>
    <d v="2026-04-17T00:00:00"/>
    <x v="3"/>
    <x v="65"/>
    <x v="2"/>
    <n v="113106"/>
    <s v="High"/>
    <s v="Sneha"/>
  </r>
  <r>
    <s v="LD20260090"/>
    <s v="Pooja Jain"/>
    <n v="9832230984"/>
    <s v="pooja.jain116@gmail.com"/>
    <x v="1"/>
    <x v="6"/>
    <x v="0"/>
    <d v="2026-03-26T00:00:00"/>
    <x v="2"/>
    <x v="66"/>
    <x v="3"/>
    <n v="132582"/>
    <s v="High"/>
    <s v="Rahul"/>
  </r>
  <r>
    <s v="LD20260091"/>
    <s v="Sneha Mishra"/>
    <n v="9560181809"/>
    <s v="sneha.mishra743@gmail.com"/>
    <x v="4"/>
    <x v="6"/>
    <x v="1"/>
    <d v="2026-03-26T00:00:00"/>
    <x v="2"/>
    <x v="66"/>
    <x v="0"/>
    <n v="30510"/>
    <s v="Low"/>
    <s v="Amit"/>
  </r>
  <r>
    <s v="LD20260092"/>
    <s v="Aditya Mehta"/>
    <n v="9885313447"/>
    <s v="aditya.mehta431@gmail.com"/>
    <x v="8"/>
    <x v="0"/>
    <x v="3"/>
    <d v="2026-02-23T00:00:00"/>
    <x v="5"/>
    <x v="67"/>
    <x v="1"/>
    <n v="33005"/>
    <s v="Low"/>
    <s v="Rahul"/>
  </r>
  <r>
    <s v="LD20260093"/>
    <s v="Vikas Gupta"/>
    <n v="9369907747"/>
    <s v="vikas.gupta382@gmail.com"/>
    <x v="7"/>
    <x v="0"/>
    <x v="2"/>
    <d v="2026-02-19T00:00:00"/>
    <x v="5"/>
    <x v="18"/>
    <x v="0"/>
    <n v="175586"/>
    <s v="High"/>
    <s v="Sneha"/>
  </r>
  <r>
    <s v="LD20260094"/>
    <s v="Neha Agrawal"/>
    <n v="9515455881"/>
    <s v="neha.agrawal641@gmail.com"/>
    <x v="9"/>
    <x v="2"/>
    <x v="1"/>
    <d v="2026-04-07T00:00:00"/>
    <x v="3"/>
    <x v="59"/>
    <x v="0"/>
    <n v="77375"/>
    <s v="Low"/>
    <s v="Priya"/>
  </r>
  <r>
    <s v="LD20260095"/>
    <s v="Aditya Borkar"/>
    <n v="9658717584"/>
    <s v="aditya.borkar621@gmail.com"/>
    <x v="7"/>
    <x v="4"/>
    <x v="1"/>
    <d v="2026-03-11T00:00:00"/>
    <x v="2"/>
    <x v="68"/>
    <x v="5"/>
    <n v="205674"/>
    <s v="High"/>
    <s v="Amit"/>
  </r>
  <r>
    <s v="LD20260096"/>
    <s v="Priya Joshi"/>
    <n v="9395091360"/>
    <s v="priya.joshi4@gmail.com"/>
    <x v="9"/>
    <x v="5"/>
    <x v="4"/>
    <d v="2026-01-17T00:00:00"/>
    <x v="1"/>
    <x v="69"/>
    <x v="0"/>
    <n v="134567"/>
    <s v="High"/>
    <s v="Sneha"/>
  </r>
  <r>
    <s v="LD20260097"/>
    <s v="Ishita Agrawal"/>
    <n v="9576232938"/>
    <s v="ishita.agrawal258@gmail.com"/>
    <x v="4"/>
    <x v="6"/>
    <x v="1"/>
    <d v="2026-02-03T00:00:00"/>
    <x v="5"/>
    <x v="70"/>
    <x v="3"/>
    <n v="89512"/>
    <s v="Low"/>
    <s v="Priya"/>
  </r>
  <r>
    <s v="LD20260098"/>
    <s v="Akash Gupta"/>
    <n v="9671845005"/>
    <s v="akash.gupta336@gmail.com"/>
    <x v="2"/>
    <x v="1"/>
    <x v="0"/>
    <d v="2026-04-03T00:00:00"/>
    <x v="3"/>
    <x v="16"/>
    <x v="2"/>
    <n v="112677"/>
    <s v="High"/>
    <s v="Priya"/>
  </r>
  <r>
    <s v="LD20260099"/>
    <s v="Neha Deshmukh"/>
    <n v="9874651324"/>
    <s v="neha.deshmukh67@gmail.com"/>
    <x v="3"/>
    <x v="0"/>
    <x v="4"/>
    <d v="2026-05-22T00:00:00"/>
    <x v="0"/>
    <x v="62"/>
    <x v="1"/>
    <n v="241597"/>
    <s v="High"/>
    <s v="Rahul"/>
  </r>
  <r>
    <s v="LD20260100"/>
    <s v="Aditya Joshi"/>
    <n v="9837963061"/>
    <s v="aditya.joshi640@gmail.com"/>
    <x v="8"/>
    <x v="2"/>
    <x v="2"/>
    <d v="2026-01-25T00:00:00"/>
    <x v="1"/>
    <x v="4"/>
    <x v="2"/>
    <n v="71393"/>
    <s v="Low"/>
    <s v="Priya"/>
  </r>
  <r>
    <s v="LD20260101"/>
    <s v="Aditi Kulkarni"/>
    <n v="9782284915"/>
    <s v="aditi.kulkarni636@gmail.com"/>
    <x v="0"/>
    <x v="5"/>
    <x v="3"/>
    <d v="2026-06-20T00:00:00"/>
    <x v="4"/>
    <x v="71"/>
    <x v="5"/>
    <n v="83242"/>
    <s v="Low"/>
    <s v="Vikas"/>
  </r>
  <r>
    <s v="LD20260102"/>
    <s v="Priya Mehta"/>
    <n v="9636734841"/>
    <s v="priya.mehta261@gmail.com"/>
    <x v="1"/>
    <x v="6"/>
    <x v="4"/>
    <d v="2026-04-23T00:00:00"/>
    <x v="3"/>
    <x v="72"/>
    <x v="2"/>
    <n v="50192"/>
    <s v="Low"/>
    <s v="Amit"/>
  </r>
  <r>
    <s v="LD20260103"/>
    <s v="Yash Gupta"/>
    <n v="9863159561"/>
    <s v="yash.gupta335@gmail.com"/>
    <x v="1"/>
    <x v="4"/>
    <x v="0"/>
    <d v="2026-03-06T00:00:00"/>
    <x v="2"/>
    <x v="73"/>
    <x v="2"/>
    <n v="180299"/>
    <s v="High"/>
    <s v="Rahul"/>
  </r>
  <r>
    <s v="LD20260104"/>
    <s v="Sakshi Sharma"/>
    <n v="9873721578"/>
    <s v="sakshi.sharma105@gmail.com"/>
    <x v="4"/>
    <x v="0"/>
    <x v="1"/>
    <d v="2026-03-01T00:00:00"/>
    <x v="2"/>
    <x v="11"/>
    <x v="5"/>
    <n v="71051"/>
    <s v="Low"/>
    <s v="Rahul"/>
  </r>
  <r>
    <s v="LD20260105"/>
    <s v="Vivaan Gupta"/>
    <n v="9336059929"/>
    <s v="vivaan.gupta615@gmail.com"/>
    <x v="7"/>
    <x v="4"/>
    <x v="4"/>
    <d v="2026-01-20T00:00:00"/>
    <x v="1"/>
    <x v="74"/>
    <x v="1"/>
    <n v="168083"/>
    <s v="High"/>
    <s v="Amit"/>
  </r>
  <r>
    <s v="LD20260106"/>
    <s v="Aarav Verma"/>
    <n v="9393208009"/>
    <s v="aarav.verma653@gmail.com"/>
    <x v="1"/>
    <x v="1"/>
    <x v="3"/>
    <d v="2026-03-31T00:00:00"/>
    <x v="2"/>
    <x v="75"/>
    <x v="5"/>
    <n v="47059"/>
    <s v="Low"/>
    <s v="Rahul"/>
  </r>
  <r>
    <s v="LD20260107"/>
    <s v="Karan Joshi"/>
    <n v="9397462018"/>
    <s v="karan.joshi40@gmail.com"/>
    <x v="9"/>
    <x v="5"/>
    <x v="3"/>
    <d v="2026-02-22T00:00:00"/>
    <x v="5"/>
    <x v="45"/>
    <x v="1"/>
    <n v="187817"/>
    <s v="High"/>
    <s v="Amit"/>
  </r>
  <r>
    <s v="LD20260108"/>
    <s v="Rahul Yadav"/>
    <n v="9837300929"/>
    <s v="rahul.yadav320@gmail.com"/>
    <x v="4"/>
    <x v="4"/>
    <x v="2"/>
    <d v="2026-01-09T00:00:00"/>
    <x v="1"/>
    <x v="76"/>
    <x v="0"/>
    <n v="116999"/>
    <s v="High"/>
    <s v="Rahul"/>
  </r>
  <r>
    <s v="LD20260109"/>
    <s v="Ishita Mishra"/>
    <n v="9795789548"/>
    <s v="ishita.mishra564@gmail.com"/>
    <x v="0"/>
    <x v="3"/>
    <x v="4"/>
    <d v="2026-05-17T00:00:00"/>
    <x v="0"/>
    <x v="77"/>
    <x v="1"/>
    <n v="192296"/>
    <s v="High"/>
    <s v="Amit"/>
  </r>
  <r>
    <s v="LD20260110"/>
    <s v="Aditi Joshi"/>
    <n v="9666082257"/>
    <s v="aditi.joshi684@gmail.com"/>
    <x v="5"/>
    <x v="3"/>
    <x v="0"/>
    <d v="2026-01-14T00:00:00"/>
    <x v="1"/>
    <x v="78"/>
    <x v="5"/>
    <n v="118548"/>
    <s v="High"/>
    <s v="Sneha"/>
  </r>
  <r>
    <s v="LD20260111"/>
    <s v="Aarav Patil"/>
    <n v="9696500401"/>
    <s v="aarav.patil786@gmail.com"/>
    <x v="8"/>
    <x v="3"/>
    <x v="2"/>
    <d v="2026-02-20T00:00:00"/>
    <x v="5"/>
    <x v="79"/>
    <x v="2"/>
    <n v="11540"/>
    <s v="Low"/>
    <s v="Sneha"/>
  </r>
  <r>
    <s v="LD20260112"/>
    <s v="Rahul Deshmukh"/>
    <n v="9864521614"/>
    <s v="rahul.deshmukh117@gmail.com"/>
    <x v="7"/>
    <x v="2"/>
    <x v="4"/>
    <d v="2026-05-28T00:00:00"/>
    <x v="0"/>
    <x v="2"/>
    <x v="2"/>
    <n v="13888"/>
    <s v="Low"/>
    <s v="Rahul"/>
  </r>
  <r>
    <s v="LD20260113"/>
    <s v="Nikhil Patel"/>
    <n v="9521949553"/>
    <s v="nikhil.patel657@gmail.com"/>
    <x v="2"/>
    <x v="0"/>
    <x v="0"/>
    <d v="2026-05-27T00:00:00"/>
    <x v="0"/>
    <x v="80"/>
    <x v="2"/>
    <n v="48243"/>
    <s v="Low"/>
    <s v="Amit"/>
  </r>
  <r>
    <s v="LD20260114"/>
    <s v="Sneha Patel"/>
    <n v="9719005572"/>
    <s v="sneha.patel534@gmail.com"/>
    <x v="8"/>
    <x v="2"/>
    <x v="4"/>
    <d v="2026-01-28T00:00:00"/>
    <x v="1"/>
    <x v="81"/>
    <x v="5"/>
    <n v="43200"/>
    <s v="Low"/>
    <s v="Rahul"/>
  </r>
  <r>
    <s v="LD20260115"/>
    <s v="Vikas Mehta"/>
    <n v="9395411830"/>
    <s v="vikas.mehta55@gmail.com"/>
    <x v="0"/>
    <x v="3"/>
    <x v="0"/>
    <d v="2026-04-10T00:00:00"/>
    <x v="3"/>
    <x v="53"/>
    <x v="3"/>
    <n v="226152"/>
    <s v="High"/>
    <s v="Priya"/>
  </r>
  <r>
    <s v="LD20260116"/>
    <s v="Neha Yadav"/>
    <n v="9336321833"/>
    <s v="neha.yadav415@gmail.com"/>
    <x v="6"/>
    <x v="4"/>
    <x v="4"/>
    <d v="2026-05-02T00:00:00"/>
    <x v="0"/>
    <x v="7"/>
    <x v="0"/>
    <n v="114790"/>
    <s v="High"/>
    <s v="Vikas"/>
  </r>
  <r>
    <s v="LD20260117"/>
    <s v="Rahul Deshmukh"/>
    <n v="9830061140"/>
    <s v="rahul.deshmukh368@gmail.com"/>
    <x v="1"/>
    <x v="1"/>
    <x v="0"/>
    <d v="2026-03-05T00:00:00"/>
    <x v="2"/>
    <x v="82"/>
    <x v="3"/>
    <n v="19995"/>
    <s v="Low"/>
    <s v="Amit"/>
  </r>
  <r>
    <s v="LD20260118"/>
    <s v="Arjun Deshmukh"/>
    <n v="9583826707"/>
    <s v="arjun.deshmukh614@gmail.com"/>
    <x v="5"/>
    <x v="3"/>
    <x v="2"/>
    <d v="2026-06-10T00:00:00"/>
    <x v="4"/>
    <x v="83"/>
    <x v="5"/>
    <n v="162731"/>
    <s v="High"/>
    <s v="Priya"/>
  </r>
  <r>
    <s v="LD20260119"/>
    <s v="Aditi Deshmukh"/>
    <n v="9669967057"/>
    <s v="aditi.deshmukh675@gmail.com"/>
    <x v="4"/>
    <x v="6"/>
    <x v="1"/>
    <d v="2026-05-09T00:00:00"/>
    <x v="0"/>
    <x v="25"/>
    <x v="0"/>
    <n v="172238"/>
    <s v="High"/>
    <s v="Sneha"/>
  </r>
  <r>
    <s v="LD20260120"/>
    <s v="Sakshi Gupta"/>
    <n v="9371510513"/>
    <s v="sakshi.gupta458@gmail.com"/>
    <x v="4"/>
    <x v="2"/>
    <x v="1"/>
    <d v="2026-02-15T00:00:00"/>
    <x v="5"/>
    <x v="84"/>
    <x v="0"/>
    <n v="43673"/>
    <s v="Low"/>
    <s v="Amit"/>
  </r>
  <r>
    <s v="LD20260121"/>
    <s v="Aditi Mehta"/>
    <n v="9577691645"/>
    <s v="aditi.mehta94@gmail.com"/>
    <x v="9"/>
    <x v="1"/>
    <x v="4"/>
    <d v="2026-05-11T00:00:00"/>
    <x v="0"/>
    <x v="85"/>
    <x v="0"/>
    <n v="202277"/>
    <s v="High"/>
    <s v="Amit"/>
  </r>
  <r>
    <s v="LD20260122"/>
    <s v="Aman Verma"/>
    <n v="9360715863"/>
    <s v="aman.verma56@gmail.com"/>
    <x v="6"/>
    <x v="1"/>
    <x v="1"/>
    <d v="2026-06-17T00:00:00"/>
    <x v="4"/>
    <x v="86"/>
    <x v="4"/>
    <n v="201911"/>
    <s v="High"/>
    <s v="Rahul"/>
  </r>
  <r>
    <s v="LD20260123"/>
    <s v="Karan Patel"/>
    <n v="9548638813"/>
    <s v="karan.patel907@gmail.com"/>
    <x v="1"/>
    <x v="1"/>
    <x v="3"/>
    <d v="2026-02-12T00:00:00"/>
    <x v="5"/>
    <x v="57"/>
    <x v="4"/>
    <n v="208227"/>
    <s v="High"/>
    <s v="Amit"/>
  </r>
  <r>
    <s v="LD20260124"/>
    <s v="Rahul Mehta"/>
    <n v="9346908880"/>
    <s v="rahul.mehta919@gmail.com"/>
    <x v="6"/>
    <x v="0"/>
    <x v="0"/>
    <d v="2026-04-27T00:00:00"/>
    <x v="3"/>
    <x v="87"/>
    <x v="1"/>
    <n v="64610"/>
    <s v="Low"/>
    <s v="Vikas"/>
  </r>
  <r>
    <s v="LD20260125"/>
    <s v="Priya Yadav"/>
    <n v="9752825859"/>
    <s v="priya.yadav519@gmail.com"/>
    <x v="9"/>
    <x v="6"/>
    <x v="4"/>
    <d v="2026-04-06T00:00:00"/>
    <x v="3"/>
    <x v="88"/>
    <x v="1"/>
    <n v="52265"/>
    <s v="Low"/>
    <s v="Amit"/>
  </r>
  <r>
    <s v="LD20260126"/>
    <s v="Pooja Borkar"/>
    <n v="9745479229"/>
    <s v="pooja.borkar386@gmail.com"/>
    <x v="3"/>
    <x v="1"/>
    <x v="3"/>
    <d v="2026-01-30T00:00:00"/>
    <x v="1"/>
    <x v="89"/>
    <x v="1"/>
    <n v="155537"/>
    <s v="High"/>
    <s v="Vikas"/>
  </r>
  <r>
    <s v="LD20260127"/>
    <s v="Yash Jain"/>
    <n v="9843827107"/>
    <s v="yash.jain904@gmail.com"/>
    <x v="8"/>
    <x v="3"/>
    <x v="3"/>
    <d v="2026-05-18T00:00:00"/>
    <x v="0"/>
    <x v="0"/>
    <x v="5"/>
    <n v="108497"/>
    <s v="High"/>
    <s v="Amit"/>
  </r>
  <r>
    <s v="LD20260128"/>
    <s v="Yash Patel"/>
    <n v="9620923381"/>
    <s v="yash.patel369@gmail.com"/>
    <x v="1"/>
    <x v="6"/>
    <x v="0"/>
    <d v="2026-04-24T00:00:00"/>
    <x v="3"/>
    <x v="90"/>
    <x v="3"/>
    <n v="22659"/>
    <s v="Low"/>
    <s v="Amit"/>
  </r>
  <r>
    <s v="LD20260129"/>
    <s v="Aman Joshi"/>
    <n v="9399080108"/>
    <s v="aman.joshi318@gmail.com"/>
    <x v="9"/>
    <x v="3"/>
    <x v="1"/>
    <d v="2026-03-22T00:00:00"/>
    <x v="2"/>
    <x v="5"/>
    <x v="2"/>
    <n v="49155"/>
    <s v="Low"/>
    <s v="Amit"/>
  </r>
  <r>
    <s v="LD20260130"/>
    <s v="Akash Mishra"/>
    <n v="9578810474"/>
    <s v="akash.mishra443@gmail.com"/>
    <x v="9"/>
    <x v="6"/>
    <x v="2"/>
    <d v="2026-04-04T00:00:00"/>
    <x v="3"/>
    <x v="91"/>
    <x v="2"/>
    <n v="170568"/>
    <s v="High"/>
    <s v="Rahul"/>
  </r>
  <r>
    <s v="LD20260131"/>
    <s v="Aarav Sharma"/>
    <n v="9357642270"/>
    <s v="aarav.sharma3@gmail.com"/>
    <x v="0"/>
    <x v="4"/>
    <x v="3"/>
    <d v="2026-03-19T00:00:00"/>
    <x v="2"/>
    <x v="30"/>
    <x v="4"/>
    <n v="68788"/>
    <s v="Low"/>
    <s v="Sneha"/>
  </r>
  <r>
    <s v="LD20260132"/>
    <s v="Yash Joshi"/>
    <n v="9737405162"/>
    <s v="yash.joshi604@gmail.com"/>
    <x v="2"/>
    <x v="5"/>
    <x v="2"/>
    <d v="2026-04-04T00:00:00"/>
    <x v="3"/>
    <x v="91"/>
    <x v="2"/>
    <n v="45323"/>
    <s v="Low"/>
    <s v="Rahul"/>
  </r>
  <r>
    <s v="LD20260133"/>
    <s v="Neha Jain"/>
    <n v="9522858685"/>
    <s v="neha.jain153@gmail.com"/>
    <x v="6"/>
    <x v="5"/>
    <x v="3"/>
    <d v="2026-01-17T00:00:00"/>
    <x v="1"/>
    <x v="69"/>
    <x v="1"/>
    <n v="222748"/>
    <s v="High"/>
    <s v="Amit"/>
  </r>
  <r>
    <s v="LD20260134"/>
    <s v="Aarav Sharma"/>
    <n v="9357020859"/>
    <s v="aarav.sharma661@gmail.com"/>
    <x v="2"/>
    <x v="2"/>
    <x v="0"/>
    <d v="2026-06-02T00:00:00"/>
    <x v="4"/>
    <x v="92"/>
    <x v="4"/>
    <n v="202288"/>
    <s v="High"/>
    <s v="Sneha"/>
  </r>
  <r>
    <s v="LD20260135"/>
    <s v="Neha Patel"/>
    <n v="9815905846"/>
    <s v="neha.patel926@gmail.com"/>
    <x v="3"/>
    <x v="1"/>
    <x v="2"/>
    <d v="2026-01-16T00:00:00"/>
    <x v="1"/>
    <x v="93"/>
    <x v="2"/>
    <n v="72303"/>
    <s v="Low"/>
    <s v="Priya"/>
  </r>
  <r>
    <s v="LD20260136"/>
    <s v="Vivaan Borkar"/>
    <n v="9811657601"/>
    <s v="vivaan.borkar798@gmail.com"/>
    <x v="3"/>
    <x v="3"/>
    <x v="4"/>
    <d v="2026-06-06T00:00:00"/>
    <x v="4"/>
    <x v="94"/>
    <x v="2"/>
    <n v="118312"/>
    <s v="High"/>
    <s v="Priya"/>
  </r>
  <r>
    <s v="LD20260137"/>
    <s v="Aman Yadav"/>
    <n v="9396918958"/>
    <s v="aman.yadav659@gmail.com"/>
    <x v="8"/>
    <x v="5"/>
    <x v="0"/>
    <d v="2026-06-14T00:00:00"/>
    <x v="4"/>
    <x v="95"/>
    <x v="2"/>
    <n v="143320"/>
    <s v="High"/>
    <s v="Amit"/>
  </r>
  <r>
    <s v="LD20260138"/>
    <s v="Aditya Joshi"/>
    <n v="9874146043"/>
    <s v="aditya.joshi641@gmail.com"/>
    <x v="9"/>
    <x v="2"/>
    <x v="2"/>
    <d v="2026-05-18T00:00:00"/>
    <x v="0"/>
    <x v="0"/>
    <x v="3"/>
    <n v="249143"/>
    <s v="High"/>
    <s v="Sneha"/>
  </r>
  <r>
    <s v="LD20260139"/>
    <s v="Aditya Jain"/>
    <n v="9533540679"/>
    <s v="aditya.jain672@gmail.com"/>
    <x v="0"/>
    <x v="0"/>
    <x v="4"/>
    <d v="2026-02-27T00:00:00"/>
    <x v="5"/>
    <x v="63"/>
    <x v="3"/>
    <n v="20175"/>
    <s v="Low"/>
    <s v="Rahul"/>
  </r>
  <r>
    <s v="LD20260140"/>
    <s v="Pooja Borkar"/>
    <n v="9617050844"/>
    <s v="pooja.borkar768@gmail.com"/>
    <x v="3"/>
    <x v="3"/>
    <x v="2"/>
    <d v="2026-03-10T00:00:00"/>
    <x v="2"/>
    <x v="96"/>
    <x v="3"/>
    <n v="216687"/>
    <s v="High"/>
    <s v="Vikas"/>
  </r>
  <r>
    <s v="LD20260141"/>
    <s v="Priya Joshi"/>
    <n v="9721465027"/>
    <s v="priya.joshi658@gmail.com"/>
    <x v="9"/>
    <x v="6"/>
    <x v="3"/>
    <d v="2026-05-10T00:00:00"/>
    <x v="0"/>
    <x v="97"/>
    <x v="2"/>
    <n v="230652"/>
    <s v="High"/>
    <s v="Priya"/>
  </r>
  <r>
    <s v="LD20260142"/>
    <s v="Rahul Jain"/>
    <n v="9635761344"/>
    <s v="rahul.jain937@gmail.com"/>
    <x v="7"/>
    <x v="4"/>
    <x v="4"/>
    <d v="2026-04-10T00:00:00"/>
    <x v="3"/>
    <x v="53"/>
    <x v="1"/>
    <n v="247913"/>
    <s v="High"/>
    <s v="Vikas"/>
  </r>
  <r>
    <s v="LD20260143"/>
    <s v="Vikas Kulkarni"/>
    <n v="9310856538"/>
    <s v="vikas.kulkarni860@gmail.com"/>
    <x v="8"/>
    <x v="3"/>
    <x v="4"/>
    <d v="2026-01-07T00:00:00"/>
    <x v="1"/>
    <x v="98"/>
    <x v="4"/>
    <n v="241934"/>
    <s v="High"/>
    <s v="Amit"/>
  </r>
  <r>
    <s v="LD20260144"/>
    <s v="Karan Deshmukh"/>
    <n v="9320442454"/>
    <s v="karan.deshmukh638@gmail.com"/>
    <x v="6"/>
    <x v="6"/>
    <x v="1"/>
    <d v="2026-05-25T00:00:00"/>
    <x v="0"/>
    <x v="99"/>
    <x v="0"/>
    <n v="39332"/>
    <s v="Low"/>
    <s v="Rahul"/>
  </r>
  <r>
    <s v="LD20260145"/>
    <s v="Akash Borkar"/>
    <n v="9629037655"/>
    <s v="akash.borkar166@gmail.com"/>
    <x v="9"/>
    <x v="1"/>
    <x v="4"/>
    <d v="2026-01-08T00:00:00"/>
    <x v="1"/>
    <x v="19"/>
    <x v="3"/>
    <n v="178701"/>
    <s v="High"/>
    <s v="Rahul"/>
  </r>
  <r>
    <s v="LD20260146"/>
    <s v="Aditya Jain"/>
    <n v="9889251917"/>
    <s v="aditya.jain48@gmail.com"/>
    <x v="1"/>
    <x v="5"/>
    <x v="0"/>
    <d v="2026-04-04T00:00:00"/>
    <x v="3"/>
    <x v="91"/>
    <x v="3"/>
    <n v="27287"/>
    <s v="Low"/>
    <s v="Sneha"/>
  </r>
  <r>
    <s v="LD20260147"/>
    <s v="Arjun Gupta"/>
    <n v="9725028322"/>
    <s v="arjun.gupta211@gmail.com"/>
    <x v="9"/>
    <x v="5"/>
    <x v="1"/>
    <d v="2026-01-09T00:00:00"/>
    <x v="1"/>
    <x v="76"/>
    <x v="3"/>
    <n v="175742"/>
    <s v="High"/>
    <s v="Amit"/>
  </r>
  <r>
    <s v="LD20260148"/>
    <s v="Vikas Verma"/>
    <n v="9896747628"/>
    <s v="vikas.verma136@gmail.com"/>
    <x v="5"/>
    <x v="0"/>
    <x v="3"/>
    <d v="2026-02-22T00:00:00"/>
    <x v="5"/>
    <x v="45"/>
    <x v="1"/>
    <n v="78461"/>
    <s v="Low"/>
    <s v="Rahul"/>
  </r>
  <r>
    <s v="LD20260149"/>
    <s v="Ananya Joshi"/>
    <n v="9616497216"/>
    <s v="ananya.joshi953@gmail.com"/>
    <x v="7"/>
    <x v="5"/>
    <x v="0"/>
    <d v="2026-04-05T00:00:00"/>
    <x v="3"/>
    <x v="12"/>
    <x v="4"/>
    <n v="134802"/>
    <s v="High"/>
    <s v="Amit"/>
  </r>
  <r>
    <s v="LD20260150"/>
    <s v="Akash Jain"/>
    <n v="9514194076"/>
    <s v="akash.jain32@gmail.com"/>
    <x v="3"/>
    <x v="5"/>
    <x v="1"/>
    <d v="2026-04-22T00:00:00"/>
    <x v="3"/>
    <x v="100"/>
    <x v="5"/>
    <n v="132930"/>
    <s v="High"/>
    <s v="Rahul"/>
  </r>
  <r>
    <s v="LD20260151"/>
    <s v="Nikhil Yadav"/>
    <n v="9887113575"/>
    <s v="nikhil.yadav222@gmail.com"/>
    <x v="6"/>
    <x v="2"/>
    <x v="1"/>
    <d v="2026-03-15T00:00:00"/>
    <x v="2"/>
    <x v="54"/>
    <x v="4"/>
    <n v="62962"/>
    <s v="Low"/>
    <s v="Amit"/>
  </r>
  <r>
    <s v="LD20260152"/>
    <s v="Vivaan Sharma"/>
    <n v="9522843161"/>
    <s v="vivaan.sharma357@gmail.com"/>
    <x v="6"/>
    <x v="2"/>
    <x v="0"/>
    <d v="2026-05-06T00:00:00"/>
    <x v="0"/>
    <x v="101"/>
    <x v="5"/>
    <n v="228060"/>
    <s v="High"/>
    <s v="Vikas"/>
  </r>
  <r>
    <s v="LD20260153"/>
    <s v="Priya Yadav"/>
    <n v="9748081562"/>
    <s v="priya.yadav967@gmail.com"/>
    <x v="1"/>
    <x v="2"/>
    <x v="4"/>
    <d v="2026-02-24T00:00:00"/>
    <x v="5"/>
    <x v="102"/>
    <x v="0"/>
    <n v="176862"/>
    <s v="High"/>
    <s v="Rahul"/>
  </r>
  <r>
    <s v="LD20260154"/>
    <s v="Vikas Agrawal"/>
    <n v="9324033524"/>
    <s v="vikas.agrawal714@gmail.com"/>
    <x v="7"/>
    <x v="0"/>
    <x v="1"/>
    <d v="2026-06-10T00:00:00"/>
    <x v="4"/>
    <x v="83"/>
    <x v="1"/>
    <n v="113441"/>
    <s v="High"/>
    <s v="Rahul"/>
  </r>
  <r>
    <s v="LD20260155"/>
    <s v="Aditi Borkar"/>
    <n v="9859922283"/>
    <s v="aditi.borkar662@gmail.com"/>
    <x v="5"/>
    <x v="0"/>
    <x v="2"/>
    <d v="2026-02-22T00:00:00"/>
    <x v="5"/>
    <x v="45"/>
    <x v="4"/>
    <n v="141383"/>
    <s v="High"/>
    <s v="Priya"/>
  </r>
  <r>
    <s v="LD20260156"/>
    <s v="Ishita Borkar"/>
    <n v="9771862026"/>
    <s v="ishita.borkar646@gmail.com"/>
    <x v="3"/>
    <x v="4"/>
    <x v="0"/>
    <d v="2026-02-02T00:00:00"/>
    <x v="5"/>
    <x v="60"/>
    <x v="3"/>
    <n v="18882"/>
    <s v="Low"/>
    <s v="Amit"/>
  </r>
  <r>
    <s v="LD20260157"/>
    <s v="Yash Mehta"/>
    <n v="9770439125"/>
    <s v="yash.mehta535@gmail.com"/>
    <x v="3"/>
    <x v="3"/>
    <x v="3"/>
    <d v="2026-06-19T00:00:00"/>
    <x v="4"/>
    <x v="103"/>
    <x v="2"/>
    <n v="131413"/>
    <s v="High"/>
    <s v="Sneha"/>
  </r>
  <r>
    <s v="LD20260158"/>
    <s v="Priya Yadav"/>
    <n v="9754835935"/>
    <s v="priya.yadav237@gmail.com"/>
    <x v="1"/>
    <x v="4"/>
    <x v="4"/>
    <d v="2026-04-29T00:00:00"/>
    <x v="3"/>
    <x v="8"/>
    <x v="5"/>
    <n v="89038"/>
    <s v="Low"/>
    <s v="Vikas"/>
  </r>
  <r>
    <s v="LD20260159"/>
    <s v="Rohan Jain"/>
    <n v="9753830486"/>
    <s v="rohan.jain160@gmail.com"/>
    <x v="3"/>
    <x v="0"/>
    <x v="4"/>
    <d v="2026-06-04T00:00:00"/>
    <x v="4"/>
    <x v="14"/>
    <x v="2"/>
    <n v="96002"/>
    <s v="Low"/>
    <s v="Priya"/>
  </r>
  <r>
    <s v="LD20260160"/>
    <s v="Priya Jain"/>
    <n v="9798301822"/>
    <s v="priya.jain105@gmail.com"/>
    <x v="1"/>
    <x v="2"/>
    <x v="4"/>
    <d v="2026-01-27T00:00:00"/>
    <x v="1"/>
    <x v="104"/>
    <x v="2"/>
    <n v="218375"/>
    <s v="High"/>
    <s v="Amit"/>
  </r>
  <r>
    <s v="LD20260161"/>
    <s v="Sneha Deshmukh"/>
    <n v="9724667188"/>
    <s v="sneha.deshmukh281@gmail.com"/>
    <x v="0"/>
    <x v="0"/>
    <x v="4"/>
    <d v="2026-06-13T00:00:00"/>
    <x v="4"/>
    <x v="105"/>
    <x v="1"/>
    <n v="131612"/>
    <s v="High"/>
    <s v="Rahul"/>
  </r>
  <r>
    <s v="LD20260162"/>
    <s v="Aarav Deshmukh"/>
    <n v="9539857025"/>
    <s v="aarav.deshmukh875@gmail.com"/>
    <x v="5"/>
    <x v="2"/>
    <x v="1"/>
    <d v="2026-05-09T00:00:00"/>
    <x v="0"/>
    <x v="25"/>
    <x v="2"/>
    <n v="77426"/>
    <s v="Low"/>
    <s v="Vikas"/>
  </r>
  <r>
    <s v="LD20260163"/>
    <s v="Ishita Sharma"/>
    <n v="9767717430"/>
    <s v="ishita.sharma759@gmail.com"/>
    <x v="2"/>
    <x v="3"/>
    <x v="2"/>
    <d v="2026-05-27T00:00:00"/>
    <x v="0"/>
    <x v="80"/>
    <x v="2"/>
    <n v="185084"/>
    <s v="High"/>
    <s v="Vikas"/>
  </r>
  <r>
    <s v="LD20260164"/>
    <s v="Neha Mishra"/>
    <n v="9870921788"/>
    <s v="neha.mishra186@gmail.com"/>
    <x v="7"/>
    <x v="0"/>
    <x v="1"/>
    <d v="2026-04-21T00:00:00"/>
    <x v="3"/>
    <x v="106"/>
    <x v="1"/>
    <n v="73542"/>
    <s v="Low"/>
    <s v="Sneha"/>
  </r>
  <r>
    <s v="LD20260165"/>
    <s v="Rahul Joshi"/>
    <n v="9574792748"/>
    <s v="rahul.joshi870@gmail.com"/>
    <x v="9"/>
    <x v="4"/>
    <x v="2"/>
    <d v="2026-04-27T00:00:00"/>
    <x v="3"/>
    <x v="87"/>
    <x v="4"/>
    <n v="187011"/>
    <s v="High"/>
    <s v="Priya"/>
  </r>
  <r>
    <s v="LD20260166"/>
    <s v="Pooja Agrawal"/>
    <n v="9575745233"/>
    <s v="pooja.agrawal11@gmail.com"/>
    <x v="9"/>
    <x v="0"/>
    <x v="0"/>
    <d v="2026-01-28T00:00:00"/>
    <x v="1"/>
    <x v="81"/>
    <x v="2"/>
    <n v="52163"/>
    <s v="Low"/>
    <s v="Priya"/>
  </r>
  <r>
    <s v="LD20260167"/>
    <s v="Aman Mehta"/>
    <n v="9371308603"/>
    <s v="aman.mehta104@gmail.com"/>
    <x v="1"/>
    <x v="3"/>
    <x v="2"/>
    <d v="2026-05-19T00:00:00"/>
    <x v="0"/>
    <x v="107"/>
    <x v="4"/>
    <n v="14222"/>
    <s v="Low"/>
    <s v="Amit"/>
  </r>
  <r>
    <s v="LD20260168"/>
    <s v="Aman Mehta"/>
    <n v="9538197723"/>
    <s v="aman.mehta421@gmail.com"/>
    <x v="6"/>
    <x v="2"/>
    <x v="0"/>
    <d v="2026-06-25T00:00:00"/>
    <x v="4"/>
    <x v="108"/>
    <x v="0"/>
    <n v="201130"/>
    <s v="High"/>
    <s v="Vikas"/>
  </r>
  <r>
    <s v="LD20260169"/>
    <s v="Ananya Mishra"/>
    <n v="9646823602"/>
    <s v="ananya.mishra58@gmail.com"/>
    <x v="8"/>
    <x v="1"/>
    <x v="1"/>
    <d v="2026-04-08T00:00:00"/>
    <x v="3"/>
    <x v="109"/>
    <x v="0"/>
    <n v="119728"/>
    <s v="High"/>
    <s v="Sneha"/>
  </r>
  <r>
    <s v="LD20260170"/>
    <s v="Ananya Yadav"/>
    <n v="9840122122"/>
    <s v="ananya.yadav272@gmail.com"/>
    <x v="8"/>
    <x v="4"/>
    <x v="4"/>
    <d v="2026-03-19T00:00:00"/>
    <x v="2"/>
    <x v="30"/>
    <x v="1"/>
    <n v="131141"/>
    <s v="High"/>
    <s v="Priya"/>
  </r>
  <r>
    <s v="LD20260171"/>
    <s v="Rahul Patel"/>
    <n v="9895134096"/>
    <s v="rahul.patel952@gmail.com"/>
    <x v="4"/>
    <x v="3"/>
    <x v="0"/>
    <d v="2026-02-19T00:00:00"/>
    <x v="5"/>
    <x v="18"/>
    <x v="3"/>
    <n v="69241"/>
    <s v="Low"/>
    <s v="Priya"/>
  </r>
  <r>
    <s v="LD20260172"/>
    <s v="Ananya Mishra"/>
    <n v="9572827436"/>
    <s v="ananya.mishra655@gmail.com"/>
    <x v="3"/>
    <x v="3"/>
    <x v="4"/>
    <d v="2026-03-17T00:00:00"/>
    <x v="2"/>
    <x v="110"/>
    <x v="1"/>
    <n v="102994"/>
    <s v="High"/>
    <s v="Priya"/>
  </r>
  <r>
    <s v="LD20260173"/>
    <s v="Priya Jain"/>
    <n v="9667190773"/>
    <s v="priya.jain386@gmail.com"/>
    <x v="6"/>
    <x v="2"/>
    <x v="1"/>
    <d v="2026-06-23T00:00:00"/>
    <x v="4"/>
    <x v="111"/>
    <x v="3"/>
    <n v="219430"/>
    <s v="High"/>
    <s v="Amit"/>
  </r>
  <r>
    <s v="LD20260174"/>
    <s v="Ananya Gupta"/>
    <n v="9652992691"/>
    <s v="ananya.gupta671@gmail.com"/>
    <x v="4"/>
    <x v="2"/>
    <x v="0"/>
    <d v="2026-05-03T00:00:00"/>
    <x v="0"/>
    <x v="21"/>
    <x v="3"/>
    <n v="32392"/>
    <s v="Low"/>
    <s v="Amit"/>
  </r>
  <r>
    <s v="LD20260175"/>
    <s v="Rohan Borkar"/>
    <n v="9517658849"/>
    <s v="rohan.borkar311@gmail.com"/>
    <x v="2"/>
    <x v="0"/>
    <x v="4"/>
    <d v="2026-01-22T00:00:00"/>
    <x v="1"/>
    <x v="34"/>
    <x v="4"/>
    <n v="227927"/>
    <s v="High"/>
    <s v="Amit"/>
  </r>
  <r>
    <s v="LD20260176"/>
    <s v="Yash Sharma"/>
    <n v="9838152097"/>
    <s v="yash.sharma674@gmail.com"/>
    <x v="5"/>
    <x v="0"/>
    <x v="0"/>
    <d v="2026-01-19T00:00:00"/>
    <x v="1"/>
    <x v="35"/>
    <x v="0"/>
    <n v="161646"/>
    <s v="High"/>
    <s v="Priya"/>
  </r>
  <r>
    <s v="LD20260177"/>
    <s v="Neha Patel"/>
    <n v="9556498936"/>
    <s v="neha.patel795@gmail.com"/>
    <x v="1"/>
    <x v="2"/>
    <x v="0"/>
    <d v="2026-02-09T00:00:00"/>
    <x v="5"/>
    <x v="112"/>
    <x v="2"/>
    <n v="169780"/>
    <s v="High"/>
    <s v="Vikas"/>
  </r>
  <r>
    <s v="LD20260178"/>
    <s v="Aditya Mishra"/>
    <n v="9395442367"/>
    <s v="aditya.mishra924@gmail.com"/>
    <x v="1"/>
    <x v="2"/>
    <x v="4"/>
    <d v="2026-03-18T00:00:00"/>
    <x v="2"/>
    <x v="113"/>
    <x v="4"/>
    <n v="30608"/>
    <s v="Low"/>
    <s v="Sneha"/>
  </r>
  <r>
    <s v="LD20260179"/>
    <s v="Arjun Singh"/>
    <n v="9666242348"/>
    <s v="arjun.singh122@gmail.com"/>
    <x v="6"/>
    <x v="2"/>
    <x v="2"/>
    <d v="2026-03-01T00:00:00"/>
    <x v="2"/>
    <x v="11"/>
    <x v="4"/>
    <n v="25323"/>
    <s v="Low"/>
    <s v="Sneha"/>
  </r>
  <r>
    <s v="LD20260180"/>
    <s v="Sakshi Borkar"/>
    <n v="9543093610"/>
    <s v="sakshi.borkar148@gmail.com"/>
    <x v="6"/>
    <x v="4"/>
    <x v="0"/>
    <d v="2026-05-08T00:00:00"/>
    <x v="0"/>
    <x v="114"/>
    <x v="3"/>
    <n v="11731"/>
    <s v="Low"/>
    <s v="Priya"/>
  </r>
  <r>
    <s v="LD20260181"/>
    <s v="Pooja Kulkarni"/>
    <n v="9376787613"/>
    <s v="pooja.kulkarni713@gmail.com"/>
    <x v="5"/>
    <x v="5"/>
    <x v="2"/>
    <d v="2026-06-20T00:00:00"/>
    <x v="4"/>
    <x v="71"/>
    <x v="5"/>
    <n v="121624"/>
    <s v="High"/>
    <s v="Sneha"/>
  </r>
  <r>
    <s v="LD20260182"/>
    <s v="Aditya Patel"/>
    <n v="9695379403"/>
    <s v="aditya.patel653@gmail.com"/>
    <x v="9"/>
    <x v="1"/>
    <x v="0"/>
    <d v="2026-06-15T00:00:00"/>
    <x v="4"/>
    <x v="115"/>
    <x v="0"/>
    <n v="188936"/>
    <s v="High"/>
    <s v="Amit"/>
  </r>
  <r>
    <s v="LD20260183"/>
    <s v="Arjun Singh"/>
    <n v="9529393035"/>
    <s v="arjun.singh496@gmail.com"/>
    <x v="1"/>
    <x v="3"/>
    <x v="2"/>
    <d v="2026-01-09T00:00:00"/>
    <x v="1"/>
    <x v="76"/>
    <x v="3"/>
    <n v="43266"/>
    <s v="Low"/>
    <s v="Amit"/>
  </r>
  <r>
    <s v="LD20260184"/>
    <s v="Arjun Patil"/>
    <n v="9655810041"/>
    <s v="arjun.patil675@gmail.com"/>
    <x v="3"/>
    <x v="4"/>
    <x v="4"/>
    <d v="2026-05-02T00:00:00"/>
    <x v="0"/>
    <x v="7"/>
    <x v="5"/>
    <n v="124082"/>
    <s v="High"/>
    <s v="Amit"/>
  </r>
  <r>
    <s v="LD20260185"/>
    <s v="Aditi Joshi"/>
    <n v="9848808820"/>
    <s v="aditi.joshi568@gmail.com"/>
    <x v="7"/>
    <x v="5"/>
    <x v="2"/>
    <d v="2026-03-16T00:00:00"/>
    <x v="2"/>
    <x v="116"/>
    <x v="1"/>
    <n v="97483"/>
    <s v="Low"/>
    <s v="Vikas"/>
  </r>
  <r>
    <s v="LD20260186"/>
    <s v="Priya Patil"/>
    <n v="9637317535"/>
    <s v="priya.patil519@gmail.com"/>
    <x v="4"/>
    <x v="5"/>
    <x v="1"/>
    <d v="2026-06-17T00:00:00"/>
    <x v="4"/>
    <x v="86"/>
    <x v="5"/>
    <n v="60412"/>
    <s v="Low"/>
    <s v="Amit"/>
  </r>
  <r>
    <s v="LD20260187"/>
    <s v="Sneha Patel"/>
    <n v="9815375567"/>
    <s v="sneha.patel601@gmail.com"/>
    <x v="3"/>
    <x v="2"/>
    <x v="0"/>
    <d v="2026-04-13T00:00:00"/>
    <x v="3"/>
    <x v="41"/>
    <x v="4"/>
    <n v="23028"/>
    <s v="Low"/>
    <s v="Sneha"/>
  </r>
  <r>
    <s v="LD20260188"/>
    <s v="Sneha Verma"/>
    <n v="9835493421"/>
    <s v="sneha.verma7@gmail.com"/>
    <x v="2"/>
    <x v="5"/>
    <x v="1"/>
    <d v="2026-05-02T00:00:00"/>
    <x v="0"/>
    <x v="7"/>
    <x v="4"/>
    <n v="248504"/>
    <s v="High"/>
    <s v="Vikas"/>
  </r>
  <r>
    <s v="LD20260189"/>
    <s v="Akash Deshmukh"/>
    <n v="9794129586"/>
    <s v="akash.deshmukh632@gmail.com"/>
    <x v="2"/>
    <x v="3"/>
    <x v="1"/>
    <d v="2026-06-22T00:00:00"/>
    <x v="4"/>
    <x v="117"/>
    <x v="2"/>
    <n v="20347"/>
    <s v="Low"/>
    <s v="Sneha"/>
  </r>
  <r>
    <s v="LD20260190"/>
    <s v="Rahul Verma"/>
    <n v="9714963055"/>
    <s v="rahul.verma680@gmail.com"/>
    <x v="0"/>
    <x v="3"/>
    <x v="1"/>
    <d v="2026-04-18T00:00:00"/>
    <x v="3"/>
    <x v="6"/>
    <x v="5"/>
    <n v="238569"/>
    <s v="High"/>
    <s v="Priya"/>
  </r>
  <r>
    <s v="LD20260191"/>
    <s v="Sneha Singh"/>
    <n v="9650539173"/>
    <s v="sneha.singh728@gmail.com"/>
    <x v="8"/>
    <x v="1"/>
    <x v="3"/>
    <d v="2026-02-17T00:00:00"/>
    <x v="5"/>
    <x v="118"/>
    <x v="0"/>
    <n v="122898"/>
    <s v="High"/>
    <s v="Vikas"/>
  </r>
  <r>
    <s v="LD20260192"/>
    <s v="Yash Borkar"/>
    <n v="9876808897"/>
    <s v="yash.borkar936@gmail.com"/>
    <x v="3"/>
    <x v="1"/>
    <x v="1"/>
    <d v="2026-05-26T00:00:00"/>
    <x v="0"/>
    <x v="119"/>
    <x v="1"/>
    <n v="160817"/>
    <s v="High"/>
    <s v="Sneha"/>
  </r>
  <r>
    <s v="LD20260193"/>
    <s v="Sakshi Verma"/>
    <n v="9589706905"/>
    <s v="sakshi.verma15@gmail.com"/>
    <x v="6"/>
    <x v="2"/>
    <x v="2"/>
    <d v="2026-06-01T00:00:00"/>
    <x v="4"/>
    <x v="23"/>
    <x v="4"/>
    <n v="36750"/>
    <s v="Low"/>
    <s v="Rahul"/>
  </r>
  <r>
    <s v="LD20260194"/>
    <s v="Vikas Gupta"/>
    <n v="9794140421"/>
    <s v="vikas.gupta918@gmail.com"/>
    <x v="8"/>
    <x v="1"/>
    <x v="1"/>
    <d v="2026-01-04T00:00:00"/>
    <x v="1"/>
    <x v="120"/>
    <x v="3"/>
    <n v="185470"/>
    <s v="High"/>
    <s v="Rahul"/>
  </r>
  <r>
    <s v="LD20260195"/>
    <s v="Aditya Gupta"/>
    <n v="9827309857"/>
    <s v="aditya.gupta891@gmail.com"/>
    <x v="9"/>
    <x v="0"/>
    <x v="0"/>
    <d v="2026-05-01T00:00:00"/>
    <x v="0"/>
    <x v="121"/>
    <x v="2"/>
    <n v="128168"/>
    <s v="High"/>
    <s v="Priya"/>
  </r>
  <r>
    <s v="LD20260196"/>
    <s v="Vivaan Mehta"/>
    <n v="9721313160"/>
    <s v="vivaan.mehta793@gmail.com"/>
    <x v="3"/>
    <x v="3"/>
    <x v="2"/>
    <d v="2026-03-17T00:00:00"/>
    <x v="2"/>
    <x v="110"/>
    <x v="1"/>
    <n v="185516"/>
    <s v="High"/>
    <s v="Amit"/>
  </r>
  <r>
    <s v="LD20260197"/>
    <s v="Vivaan Jain"/>
    <n v="9818127013"/>
    <s v="vivaan.jain33@gmail.com"/>
    <x v="2"/>
    <x v="1"/>
    <x v="2"/>
    <d v="2026-01-04T00:00:00"/>
    <x v="1"/>
    <x v="120"/>
    <x v="5"/>
    <n v="91918"/>
    <s v="Low"/>
    <s v="Vikas"/>
  </r>
  <r>
    <s v="LD20260198"/>
    <s v="Rahul Patil"/>
    <n v="9591731644"/>
    <s v="rahul.patil855@gmail.com"/>
    <x v="7"/>
    <x v="0"/>
    <x v="0"/>
    <d v="2026-01-16T00:00:00"/>
    <x v="1"/>
    <x v="93"/>
    <x v="3"/>
    <n v="125008"/>
    <s v="High"/>
    <s v="Sneha"/>
  </r>
  <r>
    <s v="LD20260199"/>
    <s v="Rahul Patel"/>
    <n v="9858756682"/>
    <s v="rahul.patel990@gmail.com"/>
    <x v="6"/>
    <x v="3"/>
    <x v="2"/>
    <d v="2026-06-15T00:00:00"/>
    <x v="4"/>
    <x v="115"/>
    <x v="1"/>
    <n v="111118"/>
    <s v="High"/>
    <s v="Sneha"/>
  </r>
  <r>
    <s v="LD20260200"/>
    <s v="Priya Agrawal"/>
    <n v="9354813359"/>
    <s v="priya.agrawal773@gmail.com"/>
    <x v="5"/>
    <x v="1"/>
    <x v="0"/>
    <d v="2026-03-16T00:00:00"/>
    <x v="2"/>
    <x v="116"/>
    <x v="3"/>
    <n v="194356"/>
    <s v="High"/>
    <s v="Vikas"/>
  </r>
  <r>
    <s v="LD20260201"/>
    <s v="Pooja Patil"/>
    <n v="9830283041"/>
    <s v="pooja.patil621@gmail.com"/>
    <x v="5"/>
    <x v="4"/>
    <x v="2"/>
    <d v="2026-06-03T00:00:00"/>
    <x v="4"/>
    <x v="122"/>
    <x v="2"/>
    <n v="108743"/>
    <s v="High"/>
    <s v="Sneha"/>
  </r>
  <r>
    <s v="LD20260202"/>
    <s v="Ishita Yadav"/>
    <n v="9770568363"/>
    <s v="ishita.yadav790@gmail.com"/>
    <x v="9"/>
    <x v="0"/>
    <x v="3"/>
    <d v="2026-03-14T00:00:00"/>
    <x v="2"/>
    <x v="56"/>
    <x v="5"/>
    <n v="120755"/>
    <s v="High"/>
    <s v="Priya"/>
  </r>
  <r>
    <s v="LD20260203"/>
    <s v="Yash Borkar"/>
    <n v="9848724692"/>
    <s v="yash.borkar836@gmail.com"/>
    <x v="2"/>
    <x v="6"/>
    <x v="3"/>
    <d v="2026-02-06T00:00:00"/>
    <x v="5"/>
    <x v="15"/>
    <x v="4"/>
    <n v="189473"/>
    <s v="High"/>
    <s v="Sneha"/>
  </r>
  <r>
    <s v="LD20260204"/>
    <s v="Ananya Singh"/>
    <n v="9384312914"/>
    <s v="ananya.singh88@gmail.com"/>
    <x v="8"/>
    <x v="6"/>
    <x v="4"/>
    <d v="2026-05-05T00:00:00"/>
    <x v="0"/>
    <x v="123"/>
    <x v="5"/>
    <n v="169094"/>
    <s v="High"/>
    <s v="Rahul"/>
  </r>
  <r>
    <s v="LD20260205"/>
    <s v="Ishita Kulkarni"/>
    <n v="9744189901"/>
    <s v="ishita.kulkarni726@gmail.com"/>
    <x v="9"/>
    <x v="5"/>
    <x v="2"/>
    <d v="2026-05-31T00:00:00"/>
    <x v="0"/>
    <x v="124"/>
    <x v="1"/>
    <n v="151705"/>
    <s v="High"/>
    <s v="Rahul"/>
  </r>
  <r>
    <s v="LD20260206"/>
    <s v="Nikhil Agrawal"/>
    <n v="9841254803"/>
    <s v="nikhil.agrawal364@gmail.com"/>
    <x v="2"/>
    <x v="4"/>
    <x v="3"/>
    <d v="2026-04-12T00:00:00"/>
    <x v="3"/>
    <x v="9"/>
    <x v="4"/>
    <n v="94146"/>
    <s v="Low"/>
    <s v="Sneha"/>
  </r>
  <r>
    <s v="LD20260207"/>
    <s v="Aman Yadav"/>
    <n v="9738547258"/>
    <s v="aman.yadav207@gmail.com"/>
    <x v="0"/>
    <x v="6"/>
    <x v="3"/>
    <d v="2026-02-19T00:00:00"/>
    <x v="5"/>
    <x v="18"/>
    <x v="5"/>
    <n v="161484"/>
    <s v="High"/>
    <s v="Vikas"/>
  </r>
  <r>
    <s v="LD20260208"/>
    <s v="Ananya Deshmukh"/>
    <n v="9329999652"/>
    <s v="ananya.deshmukh799@gmail.com"/>
    <x v="9"/>
    <x v="2"/>
    <x v="3"/>
    <d v="2026-03-05T00:00:00"/>
    <x v="2"/>
    <x v="82"/>
    <x v="0"/>
    <n v="107430"/>
    <s v="High"/>
    <s v="Sneha"/>
  </r>
  <r>
    <s v="LD20260209"/>
    <s v="Aditya Patel"/>
    <n v="9314074687"/>
    <s v="aditya.patel324@gmail.com"/>
    <x v="5"/>
    <x v="4"/>
    <x v="0"/>
    <d v="2026-03-30T00:00:00"/>
    <x v="2"/>
    <x v="125"/>
    <x v="0"/>
    <n v="34663"/>
    <s v="Low"/>
    <s v="Rahul"/>
  </r>
  <r>
    <s v="LD20260210"/>
    <s v="Karan Patil"/>
    <n v="9375272165"/>
    <s v="karan.patil887@gmail.com"/>
    <x v="2"/>
    <x v="6"/>
    <x v="3"/>
    <d v="2026-05-31T00:00:00"/>
    <x v="0"/>
    <x v="124"/>
    <x v="5"/>
    <n v="121660"/>
    <s v="High"/>
    <s v="Rahul"/>
  </r>
  <r>
    <s v="LD20260211"/>
    <s v="Sakshi Agrawal"/>
    <n v="9327569612"/>
    <s v="sakshi.agrawal608@gmail.com"/>
    <x v="9"/>
    <x v="0"/>
    <x v="4"/>
    <d v="2026-03-07T00:00:00"/>
    <x v="2"/>
    <x v="126"/>
    <x v="2"/>
    <n v="109143"/>
    <s v="High"/>
    <s v="Rahul"/>
  </r>
  <r>
    <s v="LD20260212"/>
    <s v="Aarav Sharma"/>
    <n v="9359611341"/>
    <s v="aarav.sharma36@gmail.com"/>
    <x v="4"/>
    <x v="5"/>
    <x v="1"/>
    <d v="2026-04-28T00:00:00"/>
    <x v="3"/>
    <x v="48"/>
    <x v="4"/>
    <n v="177730"/>
    <s v="High"/>
    <s v="Sneha"/>
  </r>
  <r>
    <s v="LD20260213"/>
    <s v="Arjun Jain"/>
    <n v="9844519954"/>
    <s v="arjun.jain983@gmail.com"/>
    <x v="2"/>
    <x v="6"/>
    <x v="1"/>
    <d v="2026-03-23T00:00:00"/>
    <x v="2"/>
    <x v="127"/>
    <x v="3"/>
    <n v="142776"/>
    <s v="High"/>
    <s v="Sneha"/>
  </r>
  <r>
    <s v="LD20260214"/>
    <s v="Rahul Kulkarni"/>
    <n v="9759782844"/>
    <s v="rahul.kulkarni871@gmail.com"/>
    <x v="1"/>
    <x v="6"/>
    <x v="1"/>
    <d v="2026-03-02T00:00:00"/>
    <x v="2"/>
    <x v="128"/>
    <x v="5"/>
    <n v="102277"/>
    <s v="High"/>
    <s v="Rahul"/>
  </r>
  <r>
    <s v="LD20260215"/>
    <s v="Nikhil Borkar"/>
    <n v="9844615187"/>
    <s v="nikhil.borkar29@gmail.com"/>
    <x v="4"/>
    <x v="1"/>
    <x v="1"/>
    <d v="2026-05-12T00:00:00"/>
    <x v="0"/>
    <x v="43"/>
    <x v="2"/>
    <n v="93278"/>
    <s v="Low"/>
    <s v="Rahul"/>
  </r>
  <r>
    <s v="LD20260216"/>
    <s v="Karan Mishra"/>
    <n v="9689159693"/>
    <s v="karan.mishra767@gmail.com"/>
    <x v="4"/>
    <x v="5"/>
    <x v="1"/>
    <d v="2026-06-01T00:00:00"/>
    <x v="4"/>
    <x v="23"/>
    <x v="1"/>
    <n v="94913"/>
    <s v="Low"/>
    <s v="Amit"/>
  </r>
  <r>
    <s v="LD20260217"/>
    <s v="Priya Deshmukh"/>
    <n v="9674600756"/>
    <s v="priya.deshmukh128@gmail.com"/>
    <x v="6"/>
    <x v="2"/>
    <x v="4"/>
    <d v="2026-04-08T00:00:00"/>
    <x v="3"/>
    <x v="109"/>
    <x v="2"/>
    <n v="249677"/>
    <s v="High"/>
    <s v="Rahul"/>
  </r>
  <r>
    <s v="LD20260218"/>
    <s v="Sakshi Jain"/>
    <n v="9714833527"/>
    <s v="sakshi.jain935@gmail.com"/>
    <x v="1"/>
    <x v="1"/>
    <x v="0"/>
    <d v="2026-02-10T00:00:00"/>
    <x v="5"/>
    <x v="129"/>
    <x v="5"/>
    <n v="242969"/>
    <s v="High"/>
    <s v="Priya"/>
  </r>
  <r>
    <s v="LD20260219"/>
    <s v="Sakshi Verma"/>
    <n v="9512917374"/>
    <s v="sakshi.verma949@gmail.com"/>
    <x v="0"/>
    <x v="2"/>
    <x v="3"/>
    <d v="2026-06-10T00:00:00"/>
    <x v="4"/>
    <x v="83"/>
    <x v="5"/>
    <n v="225760"/>
    <s v="High"/>
    <s v="Priya"/>
  </r>
  <r>
    <s v="LD20260220"/>
    <s v="Vikas Verma"/>
    <n v="9629161981"/>
    <s v="vikas.verma644@gmail.com"/>
    <x v="1"/>
    <x v="3"/>
    <x v="1"/>
    <d v="2026-03-26T00:00:00"/>
    <x v="2"/>
    <x v="66"/>
    <x v="2"/>
    <n v="197098"/>
    <s v="High"/>
    <s v="Sneha"/>
  </r>
  <r>
    <s v="LD20260221"/>
    <s v="Nikhil Borkar"/>
    <n v="9530051053"/>
    <s v="nikhil.borkar149@gmail.com"/>
    <x v="8"/>
    <x v="2"/>
    <x v="4"/>
    <d v="2026-03-10T00:00:00"/>
    <x v="2"/>
    <x v="96"/>
    <x v="2"/>
    <n v="16663"/>
    <s v="Low"/>
    <s v="Amit"/>
  </r>
  <r>
    <s v="LD20260222"/>
    <s v="Yash Patil"/>
    <n v="9632521447"/>
    <s v="yash.patil304@gmail.com"/>
    <x v="4"/>
    <x v="1"/>
    <x v="3"/>
    <d v="2026-03-08T00:00:00"/>
    <x v="2"/>
    <x v="130"/>
    <x v="1"/>
    <n v="246760"/>
    <s v="High"/>
    <s v="Sneha"/>
  </r>
  <r>
    <s v="LD20260223"/>
    <s v="Arjun Patel"/>
    <n v="9894691487"/>
    <s v="arjun.patel526@gmail.com"/>
    <x v="1"/>
    <x v="4"/>
    <x v="2"/>
    <d v="2026-06-21T00:00:00"/>
    <x v="4"/>
    <x v="131"/>
    <x v="5"/>
    <n v="41244"/>
    <s v="Low"/>
    <s v="Amit"/>
  </r>
  <r>
    <s v="LD20260224"/>
    <s v="Karan Mehta"/>
    <n v="9642034416"/>
    <s v="karan.mehta443@gmail.com"/>
    <x v="0"/>
    <x v="2"/>
    <x v="3"/>
    <d v="2026-03-02T00:00:00"/>
    <x v="2"/>
    <x v="128"/>
    <x v="1"/>
    <n v="244933"/>
    <s v="High"/>
    <s v="Priya"/>
  </r>
  <r>
    <s v="LD20260225"/>
    <s v="Vivaan Patil"/>
    <n v="9629374485"/>
    <s v="vivaan.patil744@gmail.com"/>
    <x v="9"/>
    <x v="2"/>
    <x v="0"/>
    <d v="2026-06-13T00:00:00"/>
    <x v="4"/>
    <x v="105"/>
    <x v="5"/>
    <n v="143899"/>
    <s v="High"/>
    <s v="Priya"/>
  </r>
  <r>
    <s v="LD20260226"/>
    <s v="Sakshi Sharma"/>
    <n v="9348439214"/>
    <s v="sakshi.sharma809@gmail.com"/>
    <x v="7"/>
    <x v="2"/>
    <x v="1"/>
    <d v="2026-02-17T00:00:00"/>
    <x v="5"/>
    <x v="118"/>
    <x v="1"/>
    <n v="67216"/>
    <s v="Low"/>
    <s v="Amit"/>
  </r>
  <r>
    <s v="LD20260227"/>
    <s v="Yash Patel"/>
    <n v="9780015044"/>
    <s v="yash.patel142@gmail.com"/>
    <x v="6"/>
    <x v="6"/>
    <x v="0"/>
    <d v="2026-02-28T00:00:00"/>
    <x v="5"/>
    <x v="132"/>
    <x v="0"/>
    <n v="227309"/>
    <s v="High"/>
    <s v="Rahul"/>
  </r>
  <r>
    <s v="LD20260228"/>
    <s v="Akash Jain"/>
    <n v="9633530777"/>
    <s v="akash.jain508@gmail.com"/>
    <x v="6"/>
    <x v="4"/>
    <x v="4"/>
    <d v="2026-02-22T00:00:00"/>
    <x v="5"/>
    <x v="45"/>
    <x v="4"/>
    <n v="90751"/>
    <s v="Low"/>
    <s v="Priya"/>
  </r>
  <r>
    <s v="LD20260229"/>
    <s v="Aarav Verma"/>
    <n v="9364777338"/>
    <s v="aarav.verma709@gmail.com"/>
    <x v="3"/>
    <x v="5"/>
    <x v="3"/>
    <d v="2026-01-15T00:00:00"/>
    <x v="1"/>
    <x v="133"/>
    <x v="5"/>
    <n v="83861"/>
    <s v="Low"/>
    <s v="Sneha"/>
  </r>
  <r>
    <s v="LD20260230"/>
    <s v="Aditya Sharma"/>
    <n v="9527888799"/>
    <s v="aditya.sharma420@gmail.com"/>
    <x v="5"/>
    <x v="6"/>
    <x v="4"/>
    <d v="2026-06-20T00:00:00"/>
    <x v="4"/>
    <x v="71"/>
    <x v="4"/>
    <n v="228004"/>
    <s v="High"/>
    <s v="Amit"/>
  </r>
  <r>
    <s v="LD20260231"/>
    <s v="Vivaan Patel"/>
    <n v="9687164419"/>
    <s v="vivaan.patel720@gmail.com"/>
    <x v="9"/>
    <x v="0"/>
    <x v="0"/>
    <d v="2026-06-02T00:00:00"/>
    <x v="4"/>
    <x v="92"/>
    <x v="1"/>
    <n v="145168"/>
    <s v="High"/>
    <s v="Rahul"/>
  </r>
  <r>
    <s v="LD20260232"/>
    <s v="Arjun Mehta"/>
    <n v="9753081042"/>
    <s v="arjun.mehta732@gmail.com"/>
    <x v="2"/>
    <x v="5"/>
    <x v="1"/>
    <d v="2026-04-08T00:00:00"/>
    <x v="3"/>
    <x v="109"/>
    <x v="5"/>
    <n v="238800"/>
    <s v="High"/>
    <s v="Rahul"/>
  </r>
  <r>
    <s v="LD20260233"/>
    <s v="Vikas Kulkarni"/>
    <n v="9881203914"/>
    <s v="vikas.kulkarni526@gmail.com"/>
    <x v="6"/>
    <x v="1"/>
    <x v="4"/>
    <d v="2026-05-18T00:00:00"/>
    <x v="0"/>
    <x v="0"/>
    <x v="0"/>
    <n v="68641"/>
    <s v="Low"/>
    <s v="Vikas"/>
  </r>
  <r>
    <s v="LD20260234"/>
    <s v="Rahul Patel"/>
    <n v="9643615914"/>
    <s v="rahul.patel106@gmail.com"/>
    <x v="9"/>
    <x v="1"/>
    <x v="1"/>
    <d v="2026-05-23T00:00:00"/>
    <x v="0"/>
    <x v="27"/>
    <x v="3"/>
    <n v="203658"/>
    <s v="High"/>
    <s v="Priya"/>
  </r>
  <r>
    <s v="LD20260235"/>
    <s v="Priya Sharma"/>
    <n v="9395474840"/>
    <s v="priya.sharma858@gmail.com"/>
    <x v="4"/>
    <x v="4"/>
    <x v="4"/>
    <d v="2026-05-28T00:00:00"/>
    <x v="0"/>
    <x v="2"/>
    <x v="3"/>
    <n v="126447"/>
    <s v="High"/>
    <s v="Rahul"/>
  </r>
  <r>
    <s v="LD20260236"/>
    <s v="Ananya Patil"/>
    <n v="9716062698"/>
    <s v="ananya.patil97@gmail.com"/>
    <x v="0"/>
    <x v="2"/>
    <x v="2"/>
    <d v="2026-03-11T00:00:00"/>
    <x v="2"/>
    <x v="68"/>
    <x v="4"/>
    <n v="141270"/>
    <s v="High"/>
    <s v="Amit"/>
  </r>
  <r>
    <s v="LD20260237"/>
    <s v="Arjun Verma"/>
    <n v="9528381739"/>
    <s v="arjun.verma125@gmail.com"/>
    <x v="2"/>
    <x v="6"/>
    <x v="4"/>
    <d v="2026-05-19T00:00:00"/>
    <x v="0"/>
    <x v="107"/>
    <x v="2"/>
    <n v="185315"/>
    <s v="High"/>
    <s v="Vikas"/>
  </r>
  <r>
    <s v="LD20260238"/>
    <s v="Sakshi Jain"/>
    <n v="9712484209"/>
    <s v="sakshi.jain407@gmail.com"/>
    <x v="8"/>
    <x v="3"/>
    <x v="2"/>
    <d v="2026-06-12T00:00:00"/>
    <x v="4"/>
    <x v="22"/>
    <x v="4"/>
    <n v="230128"/>
    <s v="High"/>
    <s v="Vikas"/>
  </r>
  <r>
    <s v="LD20260239"/>
    <s v="Aman Sharma"/>
    <n v="9858755221"/>
    <s v="aman.sharma406@gmail.com"/>
    <x v="8"/>
    <x v="6"/>
    <x v="3"/>
    <d v="2026-03-28T00:00:00"/>
    <x v="2"/>
    <x v="32"/>
    <x v="3"/>
    <n v="124185"/>
    <s v="High"/>
    <s v="Vikas"/>
  </r>
  <r>
    <s v="LD20260240"/>
    <s v="Pooja Patil"/>
    <n v="9317187785"/>
    <s v="pooja.patil411@gmail.com"/>
    <x v="3"/>
    <x v="6"/>
    <x v="3"/>
    <d v="2026-03-25T00:00:00"/>
    <x v="2"/>
    <x v="52"/>
    <x v="2"/>
    <n v="238195"/>
    <s v="High"/>
    <s v="Sneha"/>
  </r>
  <r>
    <s v="LD20260241"/>
    <s v="Aarav Mehta"/>
    <n v="9335165258"/>
    <s v="aarav.mehta112@gmail.com"/>
    <x v="7"/>
    <x v="2"/>
    <x v="4"/>
    <d v="2026-01-18T00:00:00"/>
    <x v="1"/>
    <x v="1"/>
    <x v="4"/>
    <n v="185411"/>
    <s v="High"/>
    <s v="Rahul"/>
  </r>
  <r>
    <s v="LD20260242"/>
    <s v="Neha Patel"/>
    <n v="9570898787"/>
    <s v="neha.patel431@gmail.com"/>
    <x v="9"/>
    <x v="5"/>
    <x v="1"/>
    <d v="2026-06-12T00:00:00"/>
    <x v="4"/>
    <x v="22"/>
    <x v="0"/>
    <n v="236913"/>
    <s v="High"/>
    <s v="Vikas"/>
  </r>
  <r>
    <s v="LD20260243"/>
    <s v="Priya Borkar"/>
    <n v="9346699570"/>
    <s v="priya.borkar695@gmail.com"/>
    <x v="3"/>
    <x v="5"/>
    <x v="1"/>
    <d v="2026-06-10T00:00:00"/>
    <x v="4"/>
    <x v="83"/>
    <x v="4"/>
    <n v="36346"/>
    <s v="Low"/>
    <s v="Amit"/>
  </r>
  <r>
    <s v="LD20260244"/>
    <s v="Arjun Singh"/>
    <n v="9541762938"/>
    <s v="arjun.singh14@gmail.com"/>
    <x v="5"/>
    <x v="1"/>
    <x v="3"/>
    <d v="2026-01-11T00:00:00"/>
    <x v="1"/>
    <x v="134"/>
    <x v="5"/>
    <n v="179743"/>
    <s v="High"/>
    <s v="Priya"/>
  </r>
  <r>
    <s v="LD20260245"/>
    <s v="Arjun Sharma"/>
    <n v="9346025585"/>
    <s v="arjun.sharma609@gmail.com"/>
    <x v="4"/>
    <x v="4"/>
    <x v="0"/>
    <d v="2026-01-22T00:00:00"/>
    <x v="1"/>
    <x v="34"/>
    <x v="2"/>
    <n v="125337"/>
    <s v="High"/>
    <s v="Rahul"/>
  </r>
  <r>
    <s v="LD20260246"/>
    <s v="Aman Patel"/>
    <n v="9664565416"/>
    <s v="aman.patel907@gmail.com"/>
    <x v="5"/>
    <x v="0"/>
    <x v="4"/>
    <d v="2026-05-28T00:00:00"/>
    <x v="0"/>
    <x v="2"/>
    <x v="3"/>
    <n v="33028"/>
    <s v="Low"/>
    <s v="Vikas"/>
  </r>
  <r>
    <s v="LD20260247"/>
    <s v="Sneha Patil"/>
    <n v="9386528161"/>
    <s v="sneha.patil466@gmail.com"/>
    <x v="8"/>
    <x v="6"/>
    <x v="0"/>
    <d v="2026-02-26T00:00:00"/>
    <x v="5"/>
    <x v="31"/>
    <x v="3"/>
    <n v="106158"/>
    <s v="High"/>
    <s v="Sneha"/>
  </r>
  <r>
    <s v="LD20260248"/>
    <s v="Nikhil Joshi"/>
    <n v="9572943496"/>
    <s v="nikhil.joshi628@gmail.com"/>
    <x v="9"/>
    <x v="6"/>
    <x v="3"/>
    <d v="2026-03-21T00:00:00"/>
    <x v="2"/>
    <x v="135"/>
    <x v="2"/>
    <n v="59493"/>
    <s v="Low"/>
    <s v="Vikas"/>
  </r>
  <r>
    <s v="LD20260249"/>
    <s v="Nikhil Deshmukh"/>
    <n v="9363211205"/>
    <s v="nikhil.deshmukh993@gmail.com"/>
    <x v="7"/>
    <x v="6"/>
    <x v="4"/>
    <d v="2026-01-04T00:00:00"/>
    <x v="1"/>
    <x v="120"/>
    <x v="5"/>
    <n v="155923"/>
    <s v="High"/>
    <s v="Amit"/>
  </r>
  <r>
    <s v="LD20260250"/>
    <s v="Vikas Joshi"/>
    <n v="9749661910"/>
    <s v="vikas.joshi292@gmail.com"/>
    <x v="9"/>
    <x v="6"/>
    <x v="0"/>
    <d v="2026-01-15T00:00:00"/>
    <x v="1"/>
    <x v="133"/>
    <x v="0"/>
    <n v="168839"/>
    <s v="High"/>
    <s v="Amit"/>
  </r>
  <r>
    <s v="LD20260251"/>
    <s v="Sakshi Mishra"/>
    <n v="9362061337"/>
    <s v="sakshi.mishra64@gmail.com"/>
    <x v="7"/>
    <x v="3"/>
    <x v="1"/>
    <d v="2026-04-23T00:00:00"/>
    <x v="3"/>
    <x v="72"/>
    <x v="4"/>
    <n v="69026"/>
    <s v="Low"/>
    <s v="Priya"/>
  </r>
  <r>
    <s v="LD20260252"/>
    <s v="Aditi Mehta"/>
    <n v="9628834400"/>
    <s v="aditi.mehta685@gmail.com"/>
    <x v="1"/>
    <x v="4"/>
    <x v="0"/>
    <d v="2026-06-22T00:00:00"/>
    <x v="4"/>
    <x v="117"/>
    <x v="5"/>
    <n v="225270"/>
    <s v="High"/>
    <s v="Vikas"/>
  </r>
  <r>
    <s v="LD20260253"/>
    <s v="Arjun Jain"/>
    <n v="9546061974"/>
    <s v="arjun.jain877@gmail.com"/>
    <x v="6"/>
    <x v="2"/>
    <x v="1"/>
    <d v="2026-06-11T00:00:00"/>
    <x v="4"/>
    <x v="55"/>
    <x v="0"/>
    <n v="117588"/>
    <s v="High"/>
    <s v="Vikas"/>
  </r>
  <r>
    <s v="LD20260254"/>
    <s v="Yash Verma"/>
    <n v="9586767033"/>
    <s v="yash.verma510@gmail.com"/>
    <x v="8"/>
    <x v="5"/>
    <x v="3"/>
    <d v="2026-02-08T00:00:00"/>
    <x v="5"/>
    <x v="26"/>
    <x v="4"/>
    <n v="169208"/>
    <s v="High"/>
    <s v="Rahul"/>
  </r>
  <r>
    <s v="LD20260255"/>
    <s v="Ishita Patil"/>
    <n v="9548663164"/>
    <s v="ishita.patil464@gmail.com"/>
    <x v="5"/>
    <x v="0"/>
    <x v="2"/>
    <d v="2026-04-01T00:00:00"/>
    <x v="3"/>
    <x v="136"/>
    <x v="4"/>
    <n v="155582"/>
    <s v="High"/>
    <s v="Vikas"/>
  </r>
  <r>
    <s v="LD20260256"/>
    <s v="Ishita Mishra"/>
    <n v="9877048440"/>
    <s v="ishita.mishra330@gmail.com"/>
    <x v="4"/>
    <x v="0"/>
    <x v="4"/>
    <d v="2026-04-08T00:00:00"/>
    <x v="3"/>
    <x v="109"/>
    <x v="4"/>
    <n v="89700"/>
    <s v="Low"/>
    <s v="Priya"/>
  </r>
  <r>
    <s v="LD20260257"/>
    <s v="Aditi Yadav"/>
    <n v="9341130092"/>
    <s v="aditi.yadav387@gmail.com"/>
    <x v="7"/>
    <x v="0"/>
    <x v="0"/>
    <d v="2026-01-23T00:00:00"/>
    <x v="1"/>
    <x v="137"/>
    <x v="2"/>
    <n v="95411"/>
    <s v="Low"/>
    <s v="Priya"/>
  </r>
  <r>
    <s v="LD20260258"/>
    <s v="Aditi Borkar"/>
    <n v="9813432649"/>
    <s v="aditi.borkar933@gmail.com"/>
    <x v="5"/>
    <x v="4"/>
    <x v="2"/>
    <d v="2026-01-13T00:00:00"/>
    <x v="1"/>
    <x v="44"/>
    <x v="5"/>
    <n v="150625"/>
    <s v="High"/>
    <s v="Amit"/>
  </r>
  <r>
    <s v="LD20260259"/>
    <s v="Nikhil Yadav"/>
    <n v="9379426217"/>
    <s v="nikhil.yadav448@gmail.com"/>
    <x v="8"/>
    <x v="2"/>
    <x v="2"/>
    <d v="2026-06-25T00:00:00"/>
    <x v="4"/>
    <x v="108"/>
    <x v="5"/>
    <n v="20672"/>
    <s v="Low"/>
    <s v="Vikas"/>
  </r>
  <r>
    <s v="LD20260260"/>
    <s v="Ananya Kulkarni"/>
    <n v="9819162909"/>
    <s v="ananya.kulkarni971@gmail.com"/>
    <x v="1"/>
    <x v="1"/>
    <x v="2"/>
    <d v="2026-05-15T00:00:00"/>
    <x v="0"/>
    <x v="64"/>
    <x v="5"/>
    <n v="141310"/>
    <s v="High"/>
    <s v="Sneha"/>
  </r>
  <r>
    <s v="LD20260261"/>
    <s v="Nikhil Borkar"/>
    <n v="9735261681"/>
    <s v="nikhil.borkar588@gmail.com"/>
    <x v="4"/>
    <x v="2"/>
    <x v="2"/>
    <d v="2026-04-18T00:00:00"/>
    <x v="3"/>
    <x v="6"/>
    <x v="4"/>
    <n v="245707"/>
    <s v="High"/>
    <s v="Vikas"/>
  </r>
  <r>
    <s v="LD20260262"/>
    <s v="Pooja Jain"/>
    <n v="9832913962"/>
    <s v="pooja.jain543@gmail.com"/>
    <x v="7"/>
    <x v="0"/>
    <x v="1"/>
    <d v="2026-04-03T00:00:00"/>
    <x v="3"/>
    <x v="16"/>
    <x v="5"/>
    <n v="144373"/>
    <s v="High"/>
    <s v="Priya"/>
  </r>
  <r>
    <s v="LD20260263"/>
    <s v="Arjun Mishra"/>
    <n v="9656084341"/>
    <s v="arjun.mishra916@gmail.com"/>
    <x v="8"/>
    <x v="3"/>
    <x v="4"/>
    <d v="2026-05-11T00:00:00"/>
    <x v="0"/>
    <x v="85"/>
    <x v="4"/>
    <n v="86002"/>
    <s v="Low"/>
    <s v="Vikas"/>
  </r>
  <r>
    <s v="LD20260264"/>
    <s v="Karan Singh"/>
    <n v="9765332548"/>
    <s v="karan.singh915@gmail.com"/>
    <x v="9"/>
    <x v="3"/>
    <x v="0"/>
    <d v="2026-02-16T00:00:00"/>
    <x v="5"/>
    <x v="138"/>
    <x v="4"/>
    <n v="37949"/>
    <s v="Low"/>
    <s v="Amit"/>
  </r>
  <r>
    <s v="LD20260265"/>
    <s v="Yash Mishra"/>
    <n v="9865219539"/>
    <s v="yash.mishra652@gmail.com"/>
    <x v="9"/>
    <x v="0"/>
    <x v="0"/>
    <d v="2026-01-03T00:00:00"/>
    <x v="1"/>
    <x v="36"/>
    <x v="0"/>
    <n v="89811"/>
    <s v="Low"/>
    <s v="Sneha"/>
  </r>
  <r>
    <s v="LD20260266"/>
    <s v="Arjun Yadav"/>
    <n v="9836393970"/>
    <s v="arjun.yadav16@gmail.com"/>
    <x v="4"/>
    <x v="5"/>
    <x v="0"/>
    <d v="2026-02-14T00:00:00"/>
    <x v="5"/>
    <x v="139"/>
    <x v="4"/>
    <n v="79735"/>
    <s v="Low"/>
    <s v="Vikas"/>
  </r>
  <r>
    <s v="LD20260267"/>
    <s v="Aman Patel"/>
    <n v="9765176970"/>
    <s v="aman.patel589@gmail.com"/>
    <x v="0"/>
    <x v="6"/>
    <x v="4"/>
    <d v="2026-06-04T00:00:00"/>
    <x v="4"/>
    <x v="14"/>
    <x v="4"/>
    <n v="209097"/>
    <s v="High"/>
    <s v="Vikas"/>
  </r>
  <r>
    <s v="LD20260268"/>
    <s v="Arjun Sharma"/>
    <n v="9832888925"/>
    <s v="arjun.sharma103@gmail.com"/>
    <x v="4"/>
    <x v="5"/>
    <x v="2"/>
    <d v="2026-05-14T00:00:00"/>
    <x v="0"/>
    <x v="140"/>
    <x v="4"/>
    <n v="122884"/>
    <s v="High"/>
    <s v="Rahul"/>
  </r>
  <r>
    <s v="LD20260269"/>
    <s v="Aarav Mishra"/>
    <n v="9353328428"/>
    <s v="aarav.mishra790@gmail.com"/>
    <x v="1"/>
    <x v="0"/>
    <x v="3"/>
    <d v="2026-02-06T00:00:00"/>
    <x v="5"/>
    <x v="15"/>
    <x v="2"/>
    <n v="18622"/>
    <s v="Low"/>
    <s v="Amit"/>
  </r>
  <r>
    <s v="LD20260270"/>
    <s v="Arjun Patil"/>
    <n v="9318458742"/>
    <s v="arjun.patil926@gmail.com"/>
    <x v="1"/>
    <x v="2"/>
    <x v="0"/>
    <d v="2026-03-31T00:00:00"/>
    <x v="2"/>
    <x v="75"/>
    <x v="1"/>
    <n v="15124"/>
    <s v="Low"/>
    <s v="Rahul"/>
  </r>
  <r>
    <s v="LD20260271"/>
    <s v="Neha Borkar"/>
    <n v="9315895327"/>
    <s v="neha.borkar406@gmail.com"/>
    <x v="9"/>
    <x v="4"/>
    <x v="4"/>
    <d v="2026-04-23T00:00:00"/>
    <x v="3"/>
    <x v="72"/>
    <x v="2"/>
    <n v="68431"/>
    <s v="Low"/>
    <s v="Rahul"/>
  </r>
  <r>
    <s v="LD20260272"/>
    <s v="Rahul Borkar"/>
    <n v="9752250868"/>
    <s v="rahul.borkar602@gmail.com"/>
    <x v="4"/>
    <x v="0"/>
    <x v="2"/>
    <d v="2026-01-02T00:00:00"/>
    <x v="1"/>
    <x v="141"/>
    <x v="4"/>
    <n v="76051"/>
    <s v="Low"/>
    <s v="Sneha"/>
  </r>
  <r>
    <s v="LD20260273"/>
    <s v="Aditya Gupta"/>
    <n v="9588493240"/>
    <s v="aditya.gupta694@gmail.com"/>
    <x v="8"/>
    <x v="0"/>
    <x v="2"/>
    <d v="2026-02-26T00:00:00"/>
    <x v="5"/>
    <x v="31"/>
    <x v="3"/>
    <n v="136979"/>
    <s v="High"/>
    <s v="Rahul"/>
  </r>
  <r>
    <s v="LD20260274"/>
    <s v="Neha Verma"/>
    <n v="9758103103"/>
    <s v="neha.verma178@gmail.com"/>
    <x v="6"/>
    <x v="1"/>
    <x v="3"/>
    <d v="2026-04-08T00:00:00"/>
    <x v="3"/>
    <x v="109"/>
    <x v="1"/>
    <n v="157202"/>
    <s v="High"/>
    <s v="Amit"/>
  </r>
  <r>
    <s v="LD20260275"/>
    <s v="Arjun Mehta"/>
    <n v="9555081096"/>
    <s v="arjun.mehta547@gmail.com"/>
    <x v="0"/>
    <x v="1"/>
    <x v="2"/>
    <d v="2026-04-14T00:00:00"/>
    <x v="3"/>
    <x v="51"/>
    <x v="5"/>
    <n v="155186"/>
    <s v="High"/>
    <s v="Priya"/>
  </r>
  <r>
    <s v="LD20260276"/>
    <s v="Ishita Gupta"/>
    <n v="9656235195"/>
    <s v="ishita.gupta479@gmail.com"/>
    <x v="8"/>
    <x v="1"/>
    <x v="3"/>
    <d v="2026-03-02T00:00:00"/>
    <x v="2"/>
    <x v="128"/>
    <x v="3"/>
    <n v="16628"/>
    <s v="Low"/>
    <s v="Amit"/>
  </r>
  <r>
    <s v="LD20260277"/>
    <s v="Rohan Gupta"/>
    <n v="9722432763"/>
    <s v="rohan.gupta723@gmail.com"/>
    <x v="5"/>
    <x v="4"/>
    <x v="4"/>
    <d v="2026-02-20T00:00:00"/>
    <x v="5"/>
    <x v="79"/>
    <x v="4"/>
    <n v="126210"/>
    <s v="High"/>
    <s v="Sneha"/>
  </r>
  <r>
    <s v="LD20260278"/>
    <s v="Neha Patel"/>
    <n v="9639054938"/>
    <s v="neha.patel377@gmail.com"/>
    <x v="8"/>
    <x v="3"/>
    <x v="0"/>
    <d v="2026-04-14T00:00:00"/>
    <x v="3"/>
    <x v="51"/>
    <x v="2"/>
    <n v="87923"/>
    <s v="Low"/>
    <s v="Sneha"/>
  </r>
  <r>
    <s v="LD20260279"/>
    <s v="Aman Gupta"/>
    <n v="9527575120"/>
    <s v="aman.gupta233@gmail.com"/>
    <x v="2"/>
    <x v="2"/>
    <x v="0"/>
    <d v="2026-03-08T00:00:00"/>
    <x v="2"/>
    <x v="130"/>
    <x v="5"/>
    <n v="150158"/>
    <s v="High"/>
    <s v="Priya"/>
  </r>
  <r>
    <s v="LD20260280"/>
    <s v="Ishita Yadav"/>
    <n v="9726846561"/>
    <s v="ishita.yadav523@gmail.com"/>
    <x v="3"/>
    <x v="1"/>
    <x v="0"/>
    <d v="2026-02-01T00:00:00"/>
    <x v="5"/>
    <x v="142"/>
    <x v="5"/>
    <n v="202921"/>
    <s v="High"/>
    <s v="Sneha"/>
  </r>
  <r>
    <s v="LD20260281"/>
    <s v="Aarav Mishra"/>
    <n v="9329470941"/>
    <s v="aarav.mishra736@gmail.com"/>
    <x v="9"/>
    <x v="2"/>
    <x v="1"/>
    <d v="2026-03-21T00:00:00"/>
    <x v="2"/>
    <x v="135"/>
    <x v="3"/>
    <n v="56411"/>
    <s v="Low"/>
    <s v="Priya"/>
  </r>
  <r>
    <s v="LD20260282"/>
    <s v="Pooja Gupta"/>
    <n v="9819137650"/>
    <s v="pooja.gupta679@gmail.com"/>
    <x v="7"/>
    <x v="5"/>
    <x v="0"/>
    <d v="2026-05-24T00:00:00"/>
    <x v="0"/>
    <x v="143"/>
    <x v="5"/>
    <n v="60547"/>
    <s v="Low"/>
    <s v="Rahul"/>
  </r>
  <r>
    <s v="LD20260283"/>
    <s v="Sneha Verma"/>
    <n v="9626929227"/>
    <s v="sneha.verma232@gmail.com"/>
    <x v="5"/>
    <x v="0"/>
    <x v="2"/>
    <d v="2026-04-13T00:00:00"/>
    <x v="3"/>
    <x v="41"/>
    <x v="1"/>
    <n v="213160"/>
    <s v="High"/>
    <s v="Priya"/>
  </r>
  <r>
    <s v="LD20260284"/>
    <s v="Priya Patel"/>
    <n v="9699068297"/>
    <s v="priya.patel31@gmail.com"/>
    <x v="7"/>
    <x v="2"/>
    <x v="1"/>
    <d v="2026-06-26T00:00:00"/>
    <x v="4"/>
    <x v="144"/>
    <x v="3"/>
    <n v="194493"/>
    <s v="High"/>
    <s v="Sneha"/>
  </r>
  <r>
    <s v="LD20260285"/>
    <s v="Neha Patil"/>
    <n v="9694399762"/>
    <s v="neha.patil411@gmail.com"/>
    <x v="6"/>
    <x v="0"/>
    <x v="1"/>
    <d v="2026-01-26T00:00:00"/>
    <x v="1"/>
    <x v="145"/>
    <x v="5"/>
    <n v="249255"/>
    <s v="High"/>
    <s v="Vikas"/>
  </r>
  <r>
    <s v="LD20260286"/>
    <s v="Neha Jain"/>
    <n v="9864312868"/>
    <s v="neha.jain694@gmail.com"/>
    <x v="2"/>
    <x v="6"/>
    <x v="2"/>
    <d v="2026-01-11T00:00:00"/>
    <x v="1"/>
    <x v="134"/>
    <x v="2"/>
    <n v="208432"/>
    <s v="High"/>
    <s v="Amit"/>
  </r>
  <r>
    <s v="LD20260287"/>
    <s v="Rohan Deshmukh"/>
    <n v="9884134400"/>
    <s v="rohan.deshmukh757@gmail.com"/>
    <x v="6"/>
    <x v="4"/>
    <x v="4"/>
    <d v="2026-03-21T00:00:00"/>
    <x v="2"/>
    <x v="135"/>
    <x v="4"/>
    <n v="140519"/>
    <s v="High"/>
    <s v="Vikas"/>
  </r>
  <r>
    <s v="LD20260288"/>
    <s v="Priya Borkar"/>
    <n v="9356847237"/>
    <s v="priya.borkar446@gmail.com"/>
    <x v="0"/>
    <x v="5"/>
    <x v="3"/>
    <d v="2026-01-01T00:00:00"/>
    <x v="1"/>
    <x v="146"/>
    <x v="0"/>
    <n v="239405"/>
    <s v="High"/>
    <s v="Vikas"/>
  </r>
  <r>
    <s v="LD20260289"/>
    <s v="Akash Jain"/>
    <n v="9724923309"/>
    <s v="akash.jain49@gmail.com"/>
    <x v="7"/>
    <x v="6"/>
    <x v="3"/>
    <d v="2026-01-10T00:00:00"/>
    <x v="1"/>
    <x v="147"/>
    <x v="3"/>
    <n v="249506"/>
    <s v="High"/>
    <s v="Rahul"/>
  </r>
  <r>
    <s v="LD20260290"/>
    <s v="Aditi Jain"/>
    <n v="9592588496"/>
    <s v="aditi.jain762@gmail.com"/>
    <x v="5"/>
    <x v="4"/>
    <x v="1"/>
    <d v="2026-02-26T00:00:00"/>
    <x v="5"/>
    <x v="31"/>
    <x v="5"/>
    <n v="121142"/>
    <s v="High"/>
    <s v="Sneha"/>
  </r>
  <r>
    <s v="LD20260291"/>
    <s v="Pooja Jain"/>
    <n v="9578270963"/>
    <s v="pooja.jain516@gmail.com"/>
    <x v="1"/>
    <x v="2"/>
    <x v="0"/>
    <d v="2026-01-14T00:00:00"/>
    <x v="1"/>
    <x v="78"/>
    <x v="2"/>
    <n v="138322"/>
    <s v="High"/>
    <s v="Priya"/>
  </r>
  <r>
    <s v="LD20260292"/>
    <s v="Vivaan Jain"/>
    <n v="9345057340"/>
    <s v="vivaan.jain845@gmail.com"/>
    <x v="3"/>
    <x v="6"/>
    <x v="4"/>
    <d v="2026-02-14T00:00:00"/>
    <x v="5"/>
    <x v="139"/>
    <x v="4"/>
    <n v="78230"/>
    <s v="Low"/>
    <s v="Priya"/>
  </r>
  <r>
    <s v="LD20260293"/>
    <s v="Vivaan Patel"/>
    <n v="9665249116"/>
    <s v="vivaan.patel367@gmail.com"/>
    <x v="1"/>
    <x v="3"/>
    <x v="3"/>
    <d v="2026-01-24T00:00:00"/>
    <x v="1"/>
    <x v="148"/>
    <x v="2"/>
    <n v="45796"/>
    <s v="Low"/>
    <s v="Sneha"/>
  </r>
  <r>
    <s v="LD20260294"/>
    <s v="Vikas Gupta"/>
    <n v="9710789177"/>
    <s v="vikas.gupta723@gmail.com"/>
    <x v="4"/>
    <x v="6"/>
    <x v="3"/>
    <d v="2026-05-12T00:00:00"/>
    <x v="0"/>
    <x v="43"/>
    <x v="3"/>
    <n v="88478"/>
    <s v="Low"/>
    <s v="Priya"/>
  </r>
  <r>
    <s v="LD20260295"/>
    <s v="Rohan Yadav"/>
    <n v="9754771234"/>
    <s v="rohan.yadav577@gmail.com"/>
    <x v="0"/>
    <x v="4"/>
    <x v="2"/>
    <d v="2026-06-11T00:00:00"/>
    <x v="4"/>
    <x v="55"/>
    <x v="2"/>
    <n v="187478"/>
    <s v="High"/>
    <s v="Priya"/>
  </r>
  <r>
    <s v="LD20260296"/>
    <s v="Akash Kulkarni"/>
    <n v="9537692524"/>
    <s v="akash.kulkarni860@gmail.com"/>
    <x v="5"/>
    <x v="1"/>
    <x v="3"/>
    <d v="2026-01-30T00:00:00"/>
    <x v="1"/>
    <x v="89"/>
    <x v="1"/>
    <n v="64115"/>
    <s v="Low"/>
    <s v="Rahul"/>
  </r>
  <r>
    <s v="LD20260297"/>
    <s v="Vivaan Borkar"/>
    <n v="9636456072"/>
    <s v="vivaan.borkar288@gmail.com"/>
    <x v="5"/>
    <x v="2"/>
    <x v="1"/>
    <d v="2026-01-29T00:00:00"/>
    <x v="1"/>
    <x v="50"/>
    <x v="2"/>
    <n v="95058"/>
    <s v="Low"/>
    <s v="Sneha"/>
  </r>
  <r>
    <s v="LD20260298"/>
    <s v="Sakshi Yadav"/>
    <n v="9632561374"/>
    <s v="sakshi.yadav372@gmail.com"/>
    <x v="0"/>
    <x v="1"/>
    <x v="1"/>
    <d v="2026-05-23T00:00:00"/>
    <x v="0"/>
    <x v="27"/>
    <x v="1"/>
    <n v="206724"/>
    <s v="High"/>
    <s v="Sneha"/>
  </r>
  <r>
    <s v="LD20260299"/>
    <s v="Aditya Jain"/>
    <n v="9685652278"/>
    <s v="aditya.jain735@gmail.com"/>
    <x v="0"/>
    <x v="3"/>
    <x v="2"/>
    <d v="2026-03-09T00:00:00"/>
    <x v="2"/>
    <x v="149"/>
    <x v="1"/>
    <n v="138016"/>
    <s v="High"/>
    <s v="Priya"/>
  </r>
  <r>
    <s v="LD20260300"/>
    <s v="Nikhil Mehta"/>
    <n v="9622209476"/>
    <s v="nikhil.mehta9@gmail.com"/>
    <x v="5"/>
    <x v="3"/>
    <x v="0"/>
    <d v="2026-06-14T00:00:00"/>
    <x v="4"/>
    <x v="95"/>
    <x v="3"/>
    <n v="181076"/>
    <s v="High"/>
    <s v="Amit"/>
  </r>
  <r>
    <s v="LD20260301"/>
    <s v="Neha Verma"/>
    <n v="9813394774"/>
    <s v="neha.verma142@gmail.com"/>
    <x v="6"/>
    <x v="0"/>
    <x v="3"/>
    <d v="2026-04-12T00:00:00"/>
    <x v="3"/>
    <x v="9"/>
    <x v="2"/>
    <n v="177274"/>
    <s v="High"/>
    <s v="Vikas"/>
  </r>
  <r>
    <s v="LD20260302"/>
    <s v="Rahul Verma"/>
    <n v="9692784835"/>
    <s v="rahul.verma804@gmail.com"/>
    <x v="8"/>
    <x v="6"/>
    <x v="3"/>
    <d v="2026-03-25T00:00:00"/>
    <x v="2"/>
    <x v="52"/>
    <x v="5"/>
    <n v="70352"/>
    <s v="Low"/>
    <s v="Amit"/>
  </r>
  <r>
    <s v="LD20260303"/>
    <s v="Rohan Singh"/>
    <n v="9644030897"/>
    <s v="rohan.singh942@gmail.com"/>
    <x v="9"/>
    <x v="1"/>
    <x v="1"/>
    <d v="2026-03-03T00:00:00"/>
    <x v="2"/>
    <x v="150"/>
    <x v="4"/>
    <n v="220445"/>
    <s v="High"/>
    <s v="Sneha"/>
  </r>
  <r>
    <s v="LD20260304"/>
    <s v="Vivaan Gupta"/>
    <n v="9577045795"/>
    <s v="vivaan.gupta507@gmail.com"/>
    <x v="5"/>
    <x v="4"/>
    <x v="0"/>
    <d v="2026-02-10T00:00:00"/>
    <x v="5"/>
    <x v="129"/>
    <x v="3"/>
    <n v="31032"/>
    <s v="Low"/>
    <s v="Priya"/>
  </r>
  <r>
    <s v="LD20260305"/>
    <s v="Neha Patel"/>
    <n v="9595463922"/>
    <s v="neha.patel142@gmail.com"/>
    <x v="0"/>
    <x v="1"/>
    <x v="2"/>
    <d v="2026-04-13T00:00:00"/>
    <x v="3"/>
    <x v="41"/>
    <x v="1"/>
    <n v="60020"/>
    <s v="Low"/>
    <s v="Priya"/>
  </r>
  <r>
    <s v="LD20260306"/>
    <s v="Ananya Sharma"/>
    <n v="9378624205"/>
    <s v="ananya.sharma33@gmail.com"/>
    <x v="6"/>
    <x v="0"/>
    <x v="1"/>
    <d v="2026-04-19T00:00:00"/>
    <x v="3"/>
    <x v="151"/>
    <x v="3"/>
    <n v="24496"/>
    <s v="Low"/>
    <s v="Vikas"/>
  </r>
  <r>
    <s v="LD20260307"/>
    <s v="Aditi Borkar"/>
    <n v="9868880433"/>
    <s v="aditi.borkar347@gmail.com"/>
    <x v="6"/>
    <x v="3"/>
    <x v="4"/>
    <d v="2026-01-03T00:00:00"/>
    <x v="1"/>
    <x v="36"/>
    <x v="1"/>
    <n v="87526"/>
    <s v="Low"/>
    <s v="Rahul"/>
  </r>
  <r>
    <s v="LD20260308"/>
    <s v="Sakshi Agrawal"/>
    <n v="9686170595"/>
    <s v="sakshi.agrawal577@gmail.com"/>
    <x v="4"/>
    <x v="1"/>
    <x v="0"/>
    <d v="2026-02-20T00:00:00"/>
    <x v="5"/>
    <x v="79"/>
    <x v="5"/>
    <n v="145470"/>
    <s v="High"/>
    <s v="Sneha"/>
  </r>
  <r>
    <s v="LD20260309"/>
    <s v="Aditi Singh"/>
    <n v="9763870564"/>
    <s v="aditi.singh931@gmail.com"/>
    <x v="2"/>
    <x v="1"/>
    <x v="1"/>
    <d v="2026-06-05T00:00:00"/>
    <x v="4"/>
    <x v="152"/>
    <x v="3"/>
    <n v="187326"/>
    <s v="High"/>
    <s v="Amit"/>
  </r>
  <r>
    <s v="LD20260310"/>
    <s v="Akash Mishra"/>
    <n v="9386655155"/>
    <s v="akash.mishra305@gmail.com"/>
    <x v="7"/>
    <x v="2"/>
    <x v="4"/>
    <d v="2026-04-18T00:00:00"/>
    <x v="3"/>
    <x v="6"/>
    <x v="5"/>
    <n v="236823"/>
    <s v="High"/>
    <s v="Amit"/>
  </r>
  <r>
    <s v="LD20260311"/>
    <s v="Aman Borkar"/>
    <n v="9835346293"/>
    <s v="aman.borkar649@gmail.com"/>
    <x v="4"/>
    <x v="3"/>
    <x v="1"/>
    <d v="2026-02-26T00:00:00"/>
    <x v="5"/>
    <x v="31"/>
    <x v="2"/>
    <n v="183141"/>
    <s v="High"/>
    <s v="Vikas"/>
  </r>
  <r>
    <s v="LD20260312"/>
    <s v="Ananya Singh"/>
    <n v="9558318545"/>
    <s v="ananya.singh595@gmail.com"/>
    <x v="1"/>
    <x v="4"/>
    <x v="2"/>
    <d v="2026-05-16T00:00:00"/>
    <x v="0"/>
    <x v="153"/>
    <x v="1"/>
    <n v="78440"/>
    <s v="Low"/>
    <s v="Rahul"/>
  </r>
  <r>
    <s v="LD20260313"/>
    <s v="Neha Patel"/>
    <n v="9783566596"/>
    <s v="neha.patel992@gmail.com"/>
    <x v="1"/>
    <x v="5"/>
    <x v="3"/>
    <d v="2026-01-29T00:00:00"/>
    <x v="1"/>
    <x v="50"/>
    <x v="3"/>
    <n v="34894"/>
    <s v="Low"/>
    <s v="Priya"/>
  </r>
  <r>
    <s v="LD20260314"/>
    <s v="Aman Mishra"/>
    <n v="9540466110"/>
    <s v="aman.mishra258@gmail.com"/>
    <x v="4"/>
    <x v="6"/>
    <x v="0"/>
    <d v="2026-05-22T00:00:00"/>
    <x v="0"/>
    <x v="62"/>
    <x v="4"/>
    <n v="192641"/>
    <s v="High"/>
    <s v="Rahul"/>
  </r>
  <r>
    <s v="LD20260315"/>
    <s v="Aman Borkar"/>
    <n v="9320768103"/>
    <s v="aman.borkar603@gmail.com"/>
    <x v="0"/>
    <x v="5"/>
    <x v="2"/>
    <d v="2026-04-15T00:00:00"/>
    <x v="3"/>
    <x v="154"/>
    <x v="2"/>
    <n v="236355"/>
    <s v="High"/>
    <s v="Vikas"/>
  </r>
  <r>
    <s v="LD20260316"/>
    <s v="Nikhil Singh"/>
    <n v="9894100117"/>
    <s v="nikhil.singh732@gmail.com"/>
    <x v="0"/>
    <x v="2"/>
    <x v="2"/>
    <d v="2026-05-12T00:00:00"/>
    <x v="0"/>
    <x v="43"/>
    <x v="4"/>
    <n v="54893"/>
    <s v="Low"/>
    <s v="Priya"/>
  </r>
  <r>
    <s v="LD20260317"/>
    <s v="Yash Kulkarni"/>
    <n v="9828361302"/>
    <s v="yash.kulkarni794@gmail.com"/>
    <x v="2"/>
    <x v="1"/>
    <x v="2"/>
    <d v="2026-04-06T00:00:00"/>
    <x v="3"/>
    <x v="88"/>
    <x v="2"/>
    <n v="22378"/>
    <s v="Low"/>
    <s v="Amit"/>
  </r>
  <r>
    <s v="LD20260318"/>
    <s v="Vivaan Sharma"/>
    <n v="9338606321"/>
    <s v="vivaan.sharma719@gmail.com"/>
    <x v="5"/>
    <x v="1"/>
    <x v="4"/>
    <d v="2026-04-28T00:00:00"/>
    <x v="3"/>
    <x v="48"/>
    <x v="1"/>
    <n v="248167"/>
    <s v="High"/>
    <s v="Rahul"/>
  </r>
  <r>
    <s v="LD20260319"/>
    <s v="Akash Patil"/>
    <n v="9325396245"/>
    <s v="akash.patil207@gmail.com"/>
    <x v="6"/>
    <x v="0"/>
    <x v="3"/>
    <d v="2026-04-01T00:00:00"/>
    <x v="3"/>
    <x v="136"/>
    <x v="3"/>
    <n v="188394"/>
    <s v="High"/>
    <s v="Rahul"/>
  </r>
  <r>
    <s v="LD20260320"/>
    <s v="Priya Verma"/>
    <n v="9678877976"/>
    <s v="priya.verma246@gmail.com"/>
    <x v="7"/>
    <x v="3"/>
    <x v="2"/>
    <d v="2026-05-15T00:00:00"/>
    <x v="0"/>
    <x v="64"/>
    <x v="0"/>
    <n v="224052"/>
    <s v="High"/>
    <s v="Vikas"/>
  </r>
  <r>
    <s v="LD20260321"/>
    <s v="Ananya Verma"/>
    <n v="9353937796"/>
    <s v="ananya.verma365@gmail.com"/>
    <x v="0"/>
    <x v="1"/>
    <x v="4"/>
    <d v="2026-06-04T00:00:00"/>
    <x v="4"/>
    <x v="14"/>
    <x v="5"/>
    <n v="102891"/>
    <s v="High"/>
    <s v="Priya"/>
  </r>
  <r>
    <s v="LD20260322"/>
    <s v="Sakshi Sharma"/>
    <n v="9369039469"/>
    <s v="sakshi.sharma859@gmail.com"/>
    <x v="9"/>
    <x v="2"/>
    <x v="1"/>
    <d v="2026-01-30T00:00:00"/>
    <x v="1"/>
    <x v="89"/>
    <x v="0"/>
    <n v="219896"/>
    <s v="High"/>
    <s v="Amit"/>
  </r>
  <r>
    <s v="LD20260323"/>
    <s v="Rahul Patel"/>
    <n v="9699867576"/>
    <s v="rahul.patel568@gmail.com"/>
    <x v="6"/>
    <x v="4"/>
    <x v="3"/>
    <d v="2026-04-08T00:00:00"/>
    <x v="3"/>
    <x v="109"/>
    <x v="4"/>
    <n v="190753"/>
    <s v="High"/>
    <s v="Amit"/>
  </r>
  <r>
    <s v="LD20260324"/>
    <s v="Sakshi Sharma"/>
    <n v="9630257934"/>
    <s v="sakshi.sharma26@gmail.com"/>
    <x v="3"/>
    <x v="2"/>
    <x v="1"/>
    <d v="2026-05-05T00:00:00"/>
    <x v="0"/>
    <x v="123"/>
    <x v="0"/>
    <n v="29556"/>
    <s v="Low"/>
    <s v="Priya"/>
  </r>
  <r>
    <s v="LD20260325"/>
    <s v="Akash Patil"/>
    <n v="9362689130"/>
    <s v="akash.patil661@gmail.com"/>
    <x v="6"/>
    <x v="3"/>
    <x v="2"/>
    <d v="2026-05-02T00:00:00"/>
    <x v="0"/>
    <x v="7"/>
    <x v="1"/>
    <n v="70085"/>
    <s v="Low"/>
    <s v="Vikas"/>
  </r>
  <r>
    <s v="LD20260326"/>
    <s v="Aman Verma"/>
    <n v="9680901784"/>
    <s v="aman.verma370@gmail.com"/>
    <x v="5"/>
    <x v="6"/>
    <x v="0"/>
    <d v="2026-02-25T00:00:00"/>
    <x v="5"/>
    <x v="155"/>
    <x v="4"/>
    <n v="21444"/>
    <s v="Low"/>
    <s v="Priya"/>
  </r>
  <r>
    <s v="LD20260327"/>
    <s v="Rahul Patil"/>
    <n v="9554475620"/>
    <s v="rahul.patil370@gmail.com"/>
    <x v="4"/>
    <x v="2"/>
    <x v="3"/>
    <d v="2026-05-28T00:00:00"/>
    <x v="0"/>
    <x v="2"/>
    <x v="5"/>
    <n v="11569"/>
    <s v="Low"/>
    <s v="Amit"/>
  </r>
  <r>
    <s v="LD20260328"/>
    <s v="Yash Kulkarni"/>
    <n v="9712753101"/>
    <s v="yash.kulkarni342@gmail.com"/>
    <x v="4"/>
    <x v="4"/>
    <x v="1"/>
    <d v="2026-03-05T00:00:00"/>
    <x v="2"/>
    <x v="82"/>
    <x v="3"/>
    <n v="48228"/>
    <s v="Low"/>
    <s v="Priya"/>
  </r>
  <r>
    <s v="LD20260329"/>
    <s v="Priya Deshmukh"/>
    <n v="9877109095"/>
    <s v="priya.deshmukh280@gmail.com"/>
    <x v="7"/>
    <x v="4"/>
    <x v="0"/>
    <d v="2026-03-09T00:00:00"/>
    <x v="2"/>
    <x v="149"/>
    <x v="4"/>
    <n v="163200"/>
    <s v="High"/>
    <s v="Priya"/>
  </r>
  <r>
    <s v="LD20260330"/>
    <s v="Vivaan Borkar"/>
    <n v="9836742073"/>
    <s v="vivaan.borkar575@gmail.com"/>
    <x v="2"/>
    <x v="3"/>
    <x v="1"/>
    <d v="2026-04-20T00:00:00"/>
    <x v="3"/>
    <x v="58"/>
    <x v="5"/>
    <n v="217592"/>
    <s v="High"/>
    <s v="Amit"/>
  </r>
  <r>
    <s v="LD20260331"/>
    <s v="Neha Patil"/>
    <n v="9719667782"/>
    <s v="neha.patil816@gmail.com"/>
    <x v="7"/>
    <x v="3"/>
    <x v="3"/>
    <d v="2026-03-19T00:00:00"/>
    <x v="2"/>
    <x v="30"/>
    <x v="4"/>
    <n v="233662"/>
    <s v="High"/>
    <s v="Priya"/>
  </r>
  <r>
    <s v="LD20260332"/>
    <s v="Ananya Patil"/>
    <n v="9554886122"/>
    <s v="ananya.patil564@gmail.com"/>
    <x v="7"/>
    <x v="3"/>
    <x v="3"/>
    <d v="2026-01-16T00:00:00"/>
    <x v="1"/>
    <x v="93"/>
    <x v="1"/>
    <n v="142050"/>
    <s v="High"/>
    <s v="Amit"/>
  </r>
  <r>
    <s v="LD20260333"/>
    <s v="Neha Agrawal"/>
    <n v="9630241357"/>
    <s v="neha.agrawal241@gmail.com"/>
    <x v="1"/>
    <x v="1"/>
    <x v="2"/>
    <d v="2026-02-04T00:00:00"/>
    <x v="5"/>
    <x v="156"/>
    <x v="1"/>
    <n v="126789"/>
    <s v="High"/>
    <s v="Sneha"/>
  </r>
  <r>
    <s v="LD20260334"/>
    <s v="Yash Agrawal"/>
    <n v="9788758005"/>
    <s v="yash.agrawal310@gmail.com"/>
    <x v="6"/>
    <x v="0"/>
    <x v="3"/>
    <d v="2026-01-17T00:00:00"/>
    <x v="1"/>
    <x v="69"/>
    <x v="5"/>
    <n v="200488"/>
    <s v="High"/>
    <s v="Vikas"/>
  </r>
  <r>
    <s v="LD20260335"/>
    <s v="Nikhil Mishra"/>
    <n v="9619865074"/>
    <s v="nikhil.mishra960@gmail.com"/>
    <x v="2"/>
    <x v="1"/>
    <x v="0"/>
    <d v="2026-02-18T00:00:00"/>
    <x v="5"/>
    <x v="38"/>
    <x v="2"/>
    <n v="89753"/>
    <s v="Low"/>
    <s v="Vikas"/>
  </r>
  <r>
    <s v="LD20260336"/>
    <s v="Ananya Kulkarni"/>
    <n v="9519092856"/>
    <s v="ananya.kulkarni366@gmail.com"/>
    <x v="7"/>
    <x v="6"/>
    <x v="3"/>
    <d v="2026-05-05T00:00:00"/>
    <x v="0"/>
    <x v="123"/>
    <x v="5"/>
    <n v="153257"/>
    <s v="High"/>
    <s v="Rahul"/>
  </r>
  <r>
    <s v="LD20260337"/>
    <s v="Rahul Mishra"/>
    <n v="9712693149"/>
    <s v="rahul.mishra275@gmail.com"/>
    <x v="9"/>
    <x v="2"/>
    <x v="2"/>
    <d v="2026-02-25T00:00:00"/>
    <x v="5"/>
    <x v="155"/>
    <x v="2"/>
    <n v="244052"/>
    <s v="High"/>
    <s v="Vikas"/>
  </r>
  <r>
    <s v="LD20260338"/>
    <s v="Sneha Patil"/>
    <n v="9836402095"/>
    <s v="sneha.patil514@gmail.com"/>
    <x v="9"/>
    <x v="6"/>
    <x v="0"/>
    <d v="2026-03-03T00:00:00"/>
    <x v="2"/>
    <x v="150"/>
    <x v="0"/>
    <n v="30790"/>
    <s v="Low"/>
    <s v="Rahul"/>
  </r>
  <r>
    <s v="LD20260339"/>
    <s v="Yash Mehta"/>
    <n v="9710677811"/>
    <s v="yash.mehta737@gmail.com"/>
    <x v="5"/>
    <x v="4"/>
    <x v="1"/>
    <d v="2026-02-18T00:00:00"/>
    <x v="5"/>
    <x v="38"/>
    <x v="3"/>
    <n v="94645"/>
    <s v="Low"/>
    <s v="Rahul"/>
  </r>
  <r>
    <s v="LD20260340"/>
    <s v="Karan Mehta"/>
    <n v="9897098329"/>
    <s v="karan.mehta335@gmail.com"/>
    <x v="8"/>
    <x v="4"/>
    <x v="3"/>
    <d v="2026-05-05T00:00:00"/>
    <x v="0"/>
    <x v="123"/>
    <x v="2"/>
    <n v="25059"/>
    <s v="Low"/>
    <s v="Sneha"/>
  </r>
  <r>
    <s v="LD20260341"/>
    <s v="Vivaan Verma"/>
    <n v="9354898473"/>
    <s v="vivaan.verma642@gmail.com"/>
    <x v="2"/>
    <x v="2"/>
    <x v="3"/>
    <d v="2026-05-07T00:00:00"/>
    <x v="0"/>
    <x v="157"/>
    <x v="1"/>
    <n v="238934"/>
    <s v="High"/>
    <s v="Rahul"/>
  </r>
  <r>
    <s v="LD20260342"/>
    <s v="Aarav Borkar"/>
    <n v="9397790805"/>
    <s v="aarav.borkar325@gmail.com"/>
    <x v="9"/>
    <x v="2"/>
    <x v="0"/>
    <d v="2026-03-22T00:00:00"/>
    <x v="2"/>
    <x v="5"/>
    <x v="3"/>
    <n v="199827"/>
    <s v="High"/>
    <s v="Amit"/>
  </r>
  <r>
    <s v="LD20260343"/>
    <s v="Rahul Verma"/>
    <n v="9738250422"/>
    <s v="rahul.verma20@gmail.com"/>
    <x v="3"/>
    <x v="5"/>
    <x v="1"/>
    <d v="2026-02-06T00:00:00"/>
    <x v="5"/>
    <x v="15"/>
    <x v="5"/>
    <n v="223389"/>
    <s v="High"/>
    <s v="Amit"/>
  </r>
  <r>
    <s v="LD20260344"/>
    <s v="Aditi Mehta"/>
    <n v="9384490137"/>
    <s v="aditi.mehta552@gmail.com"/>
    <x v="2"/>
    <x v="4"/>
    <x v="3"/>
    <d v="2026-02-09T00:00:00"/>
    <x v="5"/>
    <x v="112"/>
    <x v="2"/>
    <n v="204270"/>
    <s v="High"/>
    <s v="Vikas"/>
  </r>
  <r>
    <s v="LD20260345"/>
    <s v="Priya Patil"/>
    <n v="9514245750"/>
    <s v="priya.patil729@gmail.com"/>
    <x v="5"/>
    <x v="3"/>
    <x v="0"/>
    <d v="2026-06-15T00:00:00"/>
    <x v="4"/>
    <x v="115"/>
    <x v="3"/>
    <n v="128793"/>
    <s v="High"/>
    <s v="Vikas"/>
  </r>
  <r>
    <s v="LD20260346"/>
    <s v="Priya Mehta"/>
    <n v="9346766039"/>
    <s v="priya.mehta536@gmail.com"/>
    <x v="5"/>
    <x v="1"/>
    <x v="0"/>
    <d v="2026-02-03T00:00:00"/>
    <x v="5"/>
    <x v="70"/>
    <x v="1"/>
    <n v="36159"/>
    <s v="Low"/>
    <s v="Amit"/>
  </r>
  <r>
    <s v="LD20260347"/>
    <s v="Rohan Mishra"/>
    <n v="9522067816"/>
    <s v="rohan.mishra234@gmail.com"/>
    <x v="2"/>
    <x v="6"/>
    <x v="1"/>
    <d v="2026-01-08T00:00:00"/>
    <x v="1"/>
    <x v="19"/>
    <x v="0"/>
    <n v="152415"/>
    <s v="High"/>
    <s v="Vikas"/>
  </r>
  <r>
    <s v="LD20260348"/>
    <s v="Karan Singh"/>
    <n v="9744777568"/>
    <s v="karan.singh797@gmail.com"/>
    <x v="7"/>
    <x v="3"/>
    <x v="4"/>
    <d v="2026-06-05T00:00:00"/>
    <x v="4"/>
    <x v="152"/>
    <x v="2"/>
    <n v="238284"/>
    <s v="High"/>
    <s v="Priya"/>
  </r>
  <r>
    <s v="LD20260349"/>
    <s v="Aman Sharma"/>
    <n v="9769264782"/>
    <s v="aman.sharma360@gmail.com"/>
    <x v="1"/>
    <x v="3"/>
    <x v="3"/>
    <d v="2026-05-08T00:00:00"/>
    <x v="0"/>
    <x v="114"/>
    <x v="1"/>
    <n v="130612"/>
    <s v="High"/>
    <s v="Priya"/>
  </r>
  <r>
    <s v="LD20260350"/>
    <s v="Pooja Agrawal"/>
    <n v="9824469243"/>
    <s v="pooja.agrawal926@gmail.com"/>
    <x v="9"/>
    <x v="1"/>
    <x v="2"/>
    <d v="2026-06-18T00:00:00"/>
    <x v="4"/>
    <x v="42"/>
    <x v="3"/>
    <n v="236507"/>
    <s v="High"/>
    <s v="Amit"/>
  </r>
  <r>
    <s v="LD20260351"/>
    <s v="Vivaan Gupta"/>
    <n v="9565019522"/>
    <s v="vivaan.gupta578@gmail.com"/>
    <x v="1"/>
    <x v="1"/>
    <x v="3"/>
    <d v="2026-04-07T00:00:00"/>
    <x v="3"/>
    <x v="59"/>
    <x v="0"/>
    <n v="78765"/>
    <s v="Low"/>
    <s v="Sneha"/>
  </r>
  <r>
    <s v="LD20260352"/>
    <s v="Neha Gupta"/>
    <n v="9753761075"/>
    <s v="neha.gupta363@gmail.com"/>
    <x v="5"/>
    <x v="0"/>
    <x v="2"/>
    <d v="2026-04-19T00:00:00"/>
    <x v="3"/>
    <x v="151"/>
    <x v="2"/>
    <n v="159297"/>
    <s v="High"/>
    <s v="Priya"/>
  </r>
  <r>
    <s v="LD20260353"/>
    <s v="Vikas Patil"/>
    <n v="9628324032"/>
    <s v="vikas.patil957@gmail.com"/>
    <x v="5"/>
    <x v="1"/>
    <x v="3"/>
    <d v="2026-03-18T00:00:00"/>
    <x v="2"/>
    <x v="113"/>
    <x v="0"/>
    <n v="137284"/>
    <s v="High"/>
    <s v="Priya"/>
  </r>
  <r>
    <s v="LD20260354"/>
    <s v="Rahul Mehta"/>
    <n v="9390207451"/>
    <s v="rahul.mehta700@gmail.com"/>
    <x v="1"/>
    <x v="4"/>
    <x v="1"/>
    <d v="2026-04-26T00:00:00"/>
    <x v="3"/>
    <x v="28"/>
    <x v="2"/>
    <n v="233175"/>
    <s v="High"/>
    <s v="Amit"/>
  </r>
  <r>
    <s v="LD20260355"/>
    <s v="Vivaan Agrawal"/>
    <n v="9534467518"/>
    <s v="vivaan.agrawal793@gmail.com"/>
    <x v="6"/>
    <x v="0"/>
    <x v="1"/>
    <d v="2026-04-22T00:00:00"/>
    <x v="3"/>
    <x v="100"/>
    <x v="0"/>
    <n v="49826"/>
    <s v="Low"/>
    <s v="Rahul"/>
  </r>
  <r>
    <s v="LD20260356"/>
    <s v="Rohan Borkar"/>
    <n v="9777461806"/>
    <s v="rohan.borkar310@gmail.com"/>
    <x v="0"/>
    <x v="5"/>
    <x v="4"/>
    <d v="2026-04-01T00:00:00"/>
    <x v="3"/>
    <x v="136"/>
    <x v="1"/>
    <n v="188983"/>
    <s v="High"/>
    <s v="Sneha"/>
  </r>
  <r>
    <s v="LD20260357"/>
    <s v="Aditya Deshmukh"/>
    <n v="9555052458"/>
    <s v="aditya.deshmukh348@gmail.com"/>
    <x v="2"/>
    <x v="6"/>
    <x v="4"/>
    <d v="2026-01-09T00:00:00"/>
    <x v="1"/>
    <x v="76"/>
    <x v="3"/>
    <n v="190737"/>
    <s v="High"/>
    <s v="Rahul"/>
  </r>
  <r>
    <s v="LD20260358"/>
    <s v="Vivaan Patel"/>
    <n v="9341088683"/>
    <s v="vivaan.patel517@gmail.com"/>
    <x v="8"/>
    <x v="3"/>
    <x v="1"/>
    <d v="2026-05-28T00:00:00"/>
    <x v="0"/>
    <x v="2"/>
    <x v="3"/>
    <n v="15225"/>
    <s v="Low"/>
    <s v="Rahul"/>
  </r>
  <r>
    <s v="LD20260359"/>
    <s v="Pooja Verma"/>
    <n v="9826168352"/>
    <s v="pooja.verma900@gmail.com"/>
    <x v="6"/>
    <x v="4"/>
    <x v="2"/>
    <d v="2026-05-05T00:00:00"/>
    <x v="0"/>
    <x v="123"/>
    <x v="0"/>
    <n v="56918"/>
    <s v="Low"/>
    <s v="Priya"/>
  </r>
  <r>
    <s v="LD20260360"/>
    <s v="Nikhil Patel"/>
    <n v="9377206680"/>
    <s v="nikhil.patel649@gmail.com"/>
    <x v="3"/>
    <x v="0"/>
    <x v="2"/>
    <d v="2026-01-29T00:00:00"/>
    <x v="1"/>
    <x v="50"/>
    <x v="0"/>
    <n v="101604"/>
    <s v="High"/>
    <s v="Priya"/>
  </r>
  <r>
    <s v="LD20260361"/>
    <s v="Neha Jain"/>
    <n v="9633786020"/>
    <s v="neha.jain75@gmail.com"/>
    <x v="5"/>
    <x v="0"/>
    <x v="1"/>
    <d v="2026-01-04T00:00:00"/>
    <x v="1"/>
    <x v="120"/>
    <x v="0"/>
    <n v="61497"/>
    <s v="Low"/>
    <s v="Vikas"/>
  </r>
  <r>
    <s v="LD20260362"/>
    <s v="Vivaan Deshmukh"/>
    <n v="9358668672"/>
    <s v="vivaan.deshmukh809@gmail.com"/>
    <x v="9"/>
    <x v="0"/>
    <x v="1"/>
    <d v="2026-03-10T00:00:00"/>
    <x v="2"/>
    <x v="96"/>
    <x v="3"/>
    <n v="128945"/>
    <s v="High"/>
    <s v="Vikas"/>
  </r>
  <r>
    <s v="LD20260363"/>
    <s v="Sneha Singh"/>
    <n v="9546049646"/>
    <s v="sneha.singh339@gmail.com"/>
    <x v="8"/>
    <x v="0"/>
    <x v="0"/>
    <d v="2026-04-13T00:00:00"/>
    <x v="3"/>
    <x v="41"/>
    <x v="1"/>
    <n v="110394"/>
    <s v="High"/>
    <s v="Priya"/>
  </r>
  <r>
    <s v="LD20260364"/>
    <s v="Ishita Agrawal"/>
    <n v="9529200060"/>
    <s v="ishita.agrawal395@gmail.com"/>
    <x v="9"/>
    <x v="6"/>
    <x v="0"/>
    <d v="2026-06-12T00:00:00"/>
    <x v="4"/>
    <x v="22"/>
    <x v="4"/>
    <n v="76758"/>
    <s v="Low"/>
    <s v="Vikas"/>
  </r>
  <r>
    <s v="LD20260365"/>
    <s v="Ishita Gupta"/>
    <n v="9799043651"/>
    <s v="ishita.gupta846@gmail.com"/>
    <x v="0"/>
    <x v="5"/>
    <x v="0"/>
    <d v="2026-01-30T00:00:00"/>
    <x v="1"/>
    <x v="89"/>
    <x v="0"/>
    <n v="248163"/>
    <s v="High"/>
    <s v="Rahul"/>
  </r>
  <r>
    <s v="LD20260366"/>
    <s v="Ishita Jain"/>
    <n v="9696734653"/>
    <s v="ishita.jain572@gmail.com"/>
    <x v="3"/>
    <x v="3"/>
    <x v="3"/>
    <d v="2026-04-24T00:00:00"/>
    <x v="3"/>
    <x v="90"/>
    <x v="1"/>
    <n v="161442"/>
    <s v="High"/>
    <s v="Rahul"/>
  </r>
  <r>
    <s v="LD20260367"/>
    <s v="Vikas Jain"/>
    <n v="9578468388"/>
    <s v="vikas.jain663@gmail.com"/>
    <x v="2"/>
    <x v="4"/>
    <x v="2"/>
    <d v="2026-03-29T00:00:00"/>
    <x v="2"/>
    <x v="158"/>
    <x v="2"/>
    <n v="226266"/>
    <s v="High"/>
    <s v="Sneha"/>
  </r>
  <r>
    <s v="LD20260368"/>
    <s v="Ananya Jain"/>
    <n v="9580633292"/>
    <s v="ananya.jain66@gmail.com"/>
    <x v="2"/>
    <x v="3"/>
    <x v="3"/>
    <d v="2026-03-10T00:00:00"/>
    <x v="2"/>
    <x v="96"/>
    <x v="0"/>
    <n v="174862"/>
    <s v="High"/>
    <s v="Vikas"/>
  </r>
  <r>
    <s v="LD20260369"/>
    <s v="Neha Borkar"/>
    <n v="9645202337"/>
    <s v="neha.borkar628@gmail.com"/>
    <x v="7"/>
    <x v="4"/>
    <x v="0"/>
    <d v="2026-05-02T00:00:00"/>
    <x v="0"/>
    <x v="7"/>
    <x v="1"/>
    <n v="159607"/>
    <s v="High"/>
    <s v="Priya"/>
  </r>
  <r>
    <s v="LD20260370"/>
    <s v="Rohan Verma"/>
    <n v="9358868033"/>
    <s v="rohan.verma950@gmail.com"/>
    <x v="1"/>
    <x v="4"/>
    <x v="4"/>
    <d v="2026-05-15T00:00:00"/>
    <x v="0"/>
    <x v="64"/>
    <x v="5"/>
    <n v="72558"/>
    <s v="Low"/>
    <s v="Priya"/>
  </r>
  <r>
    <s v="LD20260371"/>
    <s v="Rohan Patil"/>
    <n v="9533852308"/>
    <s v="rohan.patil678@gmail.com"/>
    <x v="9"/>
    <x v="0"/>
    <x v="2"/>
    <d v="2026-06-13T00:00:00"/>
    <x v="4"/>
    <x v="105"/>
    <x v="5"/>
    <n v="228135"/>
    <s v="High"/>
    <s v="Sneha"/>
  </r>
  <r>
    <s v="LD20260372"/>
    <s v="Arjun Deshmukh"/>
    <n v="9660351363"/>
    <s v="arjun.deshmukh158@gmail.com"/>
    <x v="7"/>
    <x v="0"/>
    <x v="0"/>
    <d v="2026-01-27T00:00:00"/>
    <x v="1"/>
    <x v="104"/>
    <x v="4"/>
    <n v="89272"/>
    <s v="Low"/>
    <s v="Sneha"/>
  </r>
  <r>
    <s v="LD20260373"/>
    <s v="Aditya Joshi"/>
    <n v="9669888137"/>
    <s v="aditya.joshi406@gmail.com"/>
    <x v="0"/>
    <x v="2"/>
    <x v="2"/>
    <d v="2026-06-27T00:00:00"/>
    <x v="4"/>
    <x v="159"/>
    <x v="3"/>
    <n v="219264"/>
    <s v="High"/>
    <s v="Priya"/>
  </r>
  <r>
    <s v="LD20260374"/>
    <s v="Aman Patel"/>
    <n v="9759247897"/>
    <s v="aman.patel7@gmail.com"/>
    <x v="3"/>
    <x v="3"/>
    <x v="4"/>
    <d v="2026-05-06T00:00:00"/>
    <x v="0"/>
    <x v="101"/>
    <x v="4"/>
    <n v="107196"/>
    <s v="High"/>
    <s v="Vikas"/>
  </r>
  <r>
    <s v="LD20260375"/>
    <s v="Pooja Agrawal"/>
    <n v="9612384610"/>
    <s v="pooja.agrawal391@gmail.com"/>
    <x v="1"/>
    <x v="1"/>
    <x v="0"/>
    <d v="2026-05-23T00:00:00"/>
    <x v="0"/>
    <x v="27"/>
    <x v="5"/>
    <n v="25134"/>
    <s v="Low"/>
    <s v="Vikas"/>
  </r>
  <r>
    <s v="LD20260376"/>
    <s v="Rahul Joshi"/>
    <n v="9346855571"/>
    <s v="rahul.joshi736@gmail.com"/>
    <x v="5"/>
    <x v="6"/>
    <x v="3"/>
    <d v="2026-03-24T00:00:00"/>
    <x v="2"/>
    <x v="160"/>
    <x v="1"/>
    <n v="33941"/>
    <s v="Low"/>
    <s v="Vikas"/>
  </r>
  <r>
    <s v="LD20260377"/>
    <s v="Vikas Patil"/>
    <n v="9727220196"/>
    <s v="vikas.patil91@gmail.com"/>
    <x v="5"/>
    <x v="4"/>
    <x v="3"/>
    <d v="2026-04-19T00:00:00"/>
    <x v="3"/>
    <x v="151"/>
    <x v="0"/>
    <n v="198063"/>
    <s v="High"/>
    <s v="Sneha"/>
  </r>
  <r>
    <s v="LD20260378"/>
    <s v="Ishita Mehta"/>
    <n v="9664750671"/>
    <s v="ishita.mehta43@gmail.com"/>
    <x v="2"/>
    <x v="5"/>
    <x v="3"/>
    <d v="2026-04-21T00:00:00"/>
    <x v="3"/>
    <x v="106"/>
    <x v="5"/>
    <n v="72554"/>
    <s v="Low"/>
    <s v="Sneha"/>
  </r>
  <r>
    <s v="LD20260379"/>
    <s v="Yash Patel"/>
    <n v="9335717448"/>
    <s v="yash.patel948@gmail.com"/>
    <x v="7"/>
    <x v="1"/>
    <x v="4"/>
    <d v="2026-05-29T00:00:00"/>
    <x v="0"/>
    <x v="49"/>
    <x v="5"/>
    <n v="235490"/>
    <s v="High"/>
    <s v="Rahul"/>
  </r>
  <r>
    <s v="LD20260380"/>
    <s v="Aditya Agrawal"/>
    <n v="9562782427"/>
    <s v="aditya.agrawal457@gmail.com"/>
    <x v="8"/>
    <x v="2"/>
    <x v="1"/>
    <d v="2026-05-15T00:00:00"/>
    <x v="0"/>
    <x v="64"/>
    <x v="0"/>
    <n v="165392"/>
    <s v="High"/>
    <s v="Vikas"/>
  </r>
  <r>
    <s v="LD20260381"/>
    <s v="Sakshi Borkar"/>
    <n v="9565685957"/>
    <s v="sakshi.borkar474@gmail.com"/>
    <x v="6"/>
    <x v="1"/>
    <x v="2"/>
    <d v="2026-05-02T00:00:00"/>
    <x v="0"/>
    <x v="7"/>
    <x v="1"/>
    <n v="138783"/>
    <s v="High"/>
    <s v="Priya"/>
  </r>
  <r>
    <s v="LD20260382"/>
    <s v="Aman Agrawal"/>
    <n v="9899976950"/>
    <s v="aman.agrawal845@gmail.com"/>
    <x v="1"/>
    <x v="2"/>
    <x v="0"/>
    <d v="2026-03-01T00:00:00"/>
    <x v="2"/>
    <x v="11"/>
    <x v="0"/>
    <n v="188216"/>
    <s v="High"/>
    <s v="Amit"/>
  </r>
  <r>
    <s v="LD20260383"/>
    <s v="Nikhil Mehta"/>
    <n v="9571725987"/>
    <s v="nikhil.mehta788@gmail.com"/>
    <x v="0"/>
    <x v="6"/>
    <x v="1"/>
    <d v="2026-01-31T00:00:00"/>
    <x v="1"/>
    <x v="3"/>
    <x v="4"/>
    <n v="224297"/>
    <s v="High"/>
    <s v="Rahul"/>
  </r>
  <r>
    <s v="LD20260384"/>
    <s v="Arjun Kulkarni"/>
    <n v="9785754335"/>
    <s v="arjun.kulkarni91@gmail.com"/>
    <x v="9"/>
    <x v="5"/>
    <x v="4"/>
    <d v="2026-04-27T00:00:00"/>
    <x v="3"/>
    <x v="87"/>
    <x v="3"/>
    <n v="97972"/>
    <s v="Low"/>
    <s v="Sneha"/>
  </r>
  <r>
    <s v="LD20260385"/>
    <s v="Vivaan Singh"/>
    <n v="9588375608"/>
    <s v="vivaan.singh708@gmail.com"/>
    <x v="8"/>
    <x v="5"/>
    <x v="1"/>
    <d v="2026-02-05T00:00:00"/>
    <x v="5"/>
    <x v="29"/>
    <x v="3"/>
    <n v="48148"/>
    <s v="Low"/>
    <s v="Amit"/>
  </r>
  <r>
    <s v="LD20260386"/>
    <s v="Pooja Gupta"/>
    <n v="9834984100"/>
    <s v="pooja.gupta531@gmail.com"/>
    <x v="5"/>
    <x v="4"/>
    <x v="3"/>
    <d v="2026-05-18T00:00:00"/>
    <x v="0"/>
    <x v="0"/>
    <x v="0"/>
    <n v="92061"/>
    <s v="Low"/>
    <s v="Sneha"/>
  </r>
  <r>
    <s v="LD20260387"/>
    <s v="Priya Mishra"/>
    <n v="9684583949"/>
    <s v="priya.mishra880@gmail.com"/>
    <x v="3"/>
    <x v="2"/>
    <x v="1"/>
    <d v="2026-04-12T00:00:00"/>
    <x v="3"/>
    <x v="9"/>
    <x v="5"/>
    <n v="89820"/>
    <s v="Low"/>
    <s v="Priya"/>
  </r>
  <r>
    <s v="LD20260388"/>
    <s v="Ishita Agrawal"/>
    <n v="9344505329"/>
    <s v="ishita.agrawal447@gmail.com"/>
    <x v="1"/>
    <x v="6"/>
    <x v="1"/>
    <d v="2026-03-20T00:00:00"/>
    <x v="2"/>
    <x v="39"/>
    <x v="2"/>
    <n v="150731"/>
    <s v="High"/>
    <s v="Amit"/>
  </r>
  <r>
    <s v="LD20260389"/>
    <s v="Sakshi Mishra"/>
    <n v="9328962706"/>
    <s v="sakshi.mishra501@gmail.com"/>
    <x v="7"/>
    <x v="6"/>
    <x v="2"/>
    <d v="2026-04-04T00:00:00"/>
    <x v="3"/>
    <x v="91"/>
    <x v="3"/>
    <n v="155785"/>
    <s v="High"/>
    <s v="Rahul"/>
  </r>
  <r>
    <s v="LD20260390"/>
    <s v="Pooja Sharma"/>
    <n v="9864885469"/>
    <s v="pooja.sharma546@gmail.com"/>
    <x v="7"/>
    <x v="1"/>
    <x v="3"/>
    <d v="2026-05-25T00:00:00"/>
    <x v="0"/>
    <x v="99"/>
    <x v="2"/>
    <n v="218689"/>
    <s v="High"/>
    <s v="Sneha"/>
  </r>
  <r>
    <s v="LD20260391"/>
    <s v="Sneha Gupta"/>
    <n v="9789469261"/>
    <s v="sneha.gupta728@gmail.com"/>
    <x v="4"/>
    <x v="2"/>
    <x v="2"/>
    <d v="2026-06-06T00:00:00"/>
    <x v="4"/>
    <x v="94"/>
    <x v="2"/>
    <n v="240178"/>
    <s v="High"/>
    <s v="Priya"/>
  </r>
  <r>
    <s v="LD20260392"/>
    <s v="Vivaan Patel"/>
    <n v="9816571711"/>
    <s v="vivaan.patel445@gmail.com"/>
    <x v="0"/>
    <x v="5"/>
    <x v="0"/>
    <d v="2026-02-05T00:00:00"/>
    <x v="5"/>
    <x v="29"/>
    <x v="1"/>
    <n v="57229"/>
    <s v="Low"/>
    <s v="Rahul"/>
  </r>
  <r>
    <s v="LD20260393"/>
    <s v="Nikhil Jain"/>
    <n v="9776869551"/>
    <s v="nikhil.jain820@gmail.com"/>
    <x v="5"/>
    <x v="5"/>
    <x v="4"/>
    <d v="2026-02-26T00:00:00"/>
    <x v="5"/>
    <x v="31"/>
    <x v="4"/>
    <n v="229756"/>
    <s v="High"/>
    <s v="Priya"/>
  </r>
  <r>
    <s v="LD20260394"/>
    <s v="Rohan Agrawal"/>
    <n v="9779287479"/>
    <s v="rohan.agrawal940@gmail.com"/>
    <x v="4"/>
    <x v="1"/>
    <x v="4"/>
    <d v="2026-01-26T00:00:00"/>
    <x v="1"/>
    <x v="145"/>
    <x v="0"/>
    <n v="23188"/>
    <s v="Low"/>
    <s v="Sneha"/>
  </r>
  <r>
    <s v="LD20260395"/>
    <s v="Neha Mishra"/>
    <n v="9669378784"/>
    <s v="neha.mishra854@gmail.com"/>
    <x v="8"/>
    <x v="6"/>
    <x v="1"/>
    <d v="2026-06-25T00:00:00"/>
    <x v="4"/>
    <x v="108"/>
    <x v="3"/>
    <n v="44968"/>
    <s v="Low"/>
    <s v="Rahul"/>
  </r>
  <r>
    <s v="LD20260396"/>
    <s v="Rahul Patil"/>
    <n v="9641228113"/>
    <s v="rahul.patil458@gmail.com"/>
    <x v="7"/>
    <x v="3"/>
    <x v="0"/>
    <d v="2026-05-30T00:00:00"/>
    <x v="0"/>
    <x v="161"/>
    <x v="3"/>
    <n v="50367"/>
    <s v="Low"/>
    <s v="Amit"/>
  </r>
  <r>
    <s v="LD20260397"/>
    <s v="Priya Mehta"/>
    <n v="9730387379"/>
    <s v="priya.mehta562@gmail.com"/>
    <x v="1"/>
    <x v="2"/>
    <x v="1"/>
    <d v="2026-06-20T00:00:00"/>
    <x v="4"/>
    <x v="71"/>
    <x v="5"/>
    <n v="109608"/>
    <s v="High"/>
    <s v="Priya"/>
  </r>
  <r>
    <s v="LD20260398"/>
    <s v="Sneha Gupta"/>
    <n v="9322561484"/>
    <s v="sneha.gupta671@gmail.com"/>
    <x v="4"/>
    <x v="6"/>
    <x v="4"/>
    <d v="2026-02-20T00:00:00"/>
    <x v="5"/>
    <x v="79"/>
    <x v="1"/>
    <n v="97341"/>
    <s v="Low"/>
    <s v="Sneha"/>
  </r>
  <r>
    <s v="LD20260399"/>
    <s v="Arjun Sharma"/>
    <n v="9626391639"/>
    <s v="arjun.sharma849@gmail.com"/>
    <x v="1"/>
    <x v="3"/>
    <x v="0"/>
    <d v="2026-06-18T00:00:00"/>
    <x v="4"/>
    <x v="42"/>
    <x v="4"/>
    <n v="29119"/>
    <s v="Low"/>
    <s v="Amit"/>
  </r>
  <r>
    <s v="LD20260400"/>
    <s v="Vikas Mehta"/>
    <n v="9522481105"/>
    <s v="vikas.mehta19@gmail.com"/>
    <x v="4"/>
    <x v="0"/>
    <x v="3"/>
    <d v="2026-02-21T00:00:00"/>
    <x v="5"/>
    <x v="162"/>
    <x v="4"/>
    <n v="163068"/>
    <s v="High"/>
    <s v="Vikas"/>
  </r>
  <r>
    <s v="LD20260401"/>
    <s v="Aditya Gupta"/>
    <n v="9546396368"/>
    <s v="aditya.gupta144@gmail.com"/>
    <x v="2"/>
    <x v="0"/>
    <x v="1"/>
    <d v="2026-02-28T00:00:00"/>
    <x v="5"/>
    <x v="132"/>
    <x v="4"/>
    <n v="166970"/>
    <s v="High"/>
    <s v="Rahul"/>
  </r>
  <r>
    <s v="LD20260402"/>
    <s v="Aarav Mehta"/>
    <n v="9798118217"/>
    <s v="aarav.mehta200@gmail.com"/>
    <x v="9"/>
    <x v="6"/>
    <x v="3"/>
    <d v="2026-03-18T00:00:00"/>
    <x v="2"/>
    <x v="113"/>
    <x v="5"/>
    <n v="127866"/>
    <s v="High"/>
    <s v="Sneha"/>
  </r>
  <r>
    <s v="LD20260403"/>
    <s v="Neha Mehta"/>
    <n v="9634005826"/>
    <s v="neha.mehta761@gmail.com"/>
    <x v="5"/>
    <x v="5"/>
    <x v="1"/>
    <d v="2026-01-29T00:00:00"/>
    <x v="1"/>
    <x v="50"/>
    <x v="3"/>
    <n v="156584"/>
    <s v="High"/>
    <s v="Sneha"/>
  </r>
  <r>
    <s v="LD20260404"/>
    <s v="Arjun Jain"/>
    <n v="9831658815"/>
    <s v="arjun.jain565@gmail.com"/>
    <x v="8"/>
    <x v="2"/>
    <x v="1"/>
    <d v="2026-06-02T00:00:00"/>
    <x v="4"/>
    <x v="92"/>
    <x v="0"/>
    <n v="20383"/>
    <s v="Low"/>
    <s v="Vikas"/>
  </r>
  <r>
    <s v="LD20260405"/>
    <s v="Yash Verma"/>
    <n v="9765744112"/>
    <s v="yash.verma423@gmail.com"/>
    <x v="7"/>
    <x v="1"/>
    <x v="3"/>
    <d v="2026-05-28T00:00:00"/>
    <x v="0"/>
    <x v="2"/>
    <x v="3"/>
    <n v="183839"/>
    <s v="High"/>
    <s v="Priya"/>
  </r>
  <r>
    <s v="LD20260406"/>
    <s v="Ananya Patel"/>
    <n v="9854510742"/>
    <s v="ananya.patel679@gmail.com"/>
    <x v="4"/>
    <x v="0"/>
    <x v="4"/>
    <d v="2026-01-02T00:00:00"/>
    <x v="1"/>
    <x v="141"/>
    <x v="5"/>
    <n v="34644"/>
    <s v="Low"/>
    <s v="Rahul"/>
  </r>
  <r>
    <s v="LD20260407"/>
    <s v="Neha Verma"/>
    <n v="9546301750"/>
    <s v="neha.verma157@gmail.com"/>
    <x v="3"/>
    <x v="1"/>
    <x v="3"/>
    <d v="2026-05-18T00:00:00"/>
    <x v="0"/>
    <x v="0"/>
    <x v="1"/>
    <n v="74479"/>
    <s v="Low"/>
    <s v="Priya"/>
  </r>
  <r>
    <s v="LD20260408"/>
    <s v="Yash Singh"/>
    <n v="9344390215"/>
    <s v="yash.singh44@gmail.com"/>
    <x v="1"/>
    <x v="0"/>
    <x v="2"/>
    <d v="2026-04-04T00:00:00"/>
    <x v="3"/>
    <x v="91"/>
    <x v="4"/>
    <n v="63335"/>
    <s v="Low"/>
    <s v="Priya"/>
  </r>
  <r>
    <s v="LD20260409"/>
    <s v="Neha Jain"/>
    <n v="9377349962"/>
    <s v="neha.jain893@gmail.com"/>
    <x v="0"/>
    <x v="1"/>
    <x v="1"/>
    <d v="2026-03-03T00:00:00"/>
    <x v="2"/>
    <x v="150"/>
    <x v="0"/>
    <n v="138031"/>
    <s v="High"/>
    <s v="Vikas"/>
  </r>
  <r>
    <s v="LD20260410"/>
    <s v="Karan Jain"/>
    <n v="9721682366"/>
    <s v="karan.jain762@gmail.com"/>
    <x v="6"/>
    <x v="5"/>
    <x v="3"/>
    <d v="2026-02-13T00:00:00"/>
    <x v="5"/>
    <x v="163"/>
    <x v="0"/>
    <n v="121149"/>
    <s v="High"/>
    <s v="Sneha"/>
  </r>
  <r>
    <s v="LD20260411"/>
    <s v="Akash Singh"/>
    <n v="9686478851"/>
    <s v="akash.singh113@gmail.com"/>
    <x v="0"/>
    <x v="3"/>
    <x v="0"/>
    <d v="2026-01-31T00:00:00"/>
    <x v="1"/>
    <x v="3"/>
    <x v="2"/>
    <n v="71320"/>
    <s v="Low"/>
    <s v="Priya"/>
  </r>
  <r>
    <s v="LD20260412"/>
    <s v="Akash Agrawal"/>
    <n v="9318340090"/>
    <s v="akash.agrawal803@gmail.com"/>
    <x v="0"/>
    <x v="4"/>
    <x v="3"/>
    <d v="2026-03-04T00:00:00"/>
    <x v="2"/>
    <x v="40"/>
    <x v="0"/>
    <n v="20806"/>
    <s v="Low"/>
    <s v="Priya"/>
  </r>
  <r>
    <s v="LD20260413"/>
    <s v="Akash Agrawal"/>
    <n v="9750749358"/>
    <s v="akash.agrawal709@gmail.com"/>
    <x v="0"/>
    <x v="5"/>
    <x v="2"/>
    <d v="2026-03-29T00:00:00"/>
    <x v="2"/>
    <x v="158"/>
    <x v="4"/>
    <n v="57920"/>
    <s v="Low"/>
    <s v="Rahul"/>
  </r>
  <r>
    <s v="LD20260414"/>
    <s v="Pooja Borkar"/>
    <n v="9514327075"/>
    <s v="pooja.borkar422@gmail.com"/>
    <x v="1"/>
    <x v="6"/>
    <x v="0"/>
    <d v="2026-01-23T00:00:00"/>
    <x v="1"/>
    <x v="137"/>
    <x v="3"/>
    <n v="53813"/>
    <s v="Low"/>
    <s v="Priya"/>
  </r>
  <r>
    <s v="LD20260415"/>
    <s v="Ananya Agrawal"/>
    <n v="9736602039"/>
    <s v="ananya.agrawal144@gmail.com"/>
    <x v="7"/>
    <x v="3"/>
    <x v="1"/>
    <d v="2026-02-26T00:00:00"/>
    <x v="5"/>
    <x v="31"/>
    <x v="0"/>
    <n v="217510"/>
    <s v="High"/>
    <s v="Sneha"/>
  </r>
  <r>
    <s v="LD20260416"/>
    <s v="Vivaan Kulkarni"/>
    <n v="9619266121"/>
    <s v="vivaan.kulkarni539@gmail.com"/>
    <x v="0"/>
    <x v="6"/>
    <x v="1"/>
    <d v="2026-06-04T00:00:00"/>
    <x v="4"/>
    <x v="14"/>
    <x v="5"/>
    <n v="216206"/>
    <s v="High"/>
    <s v="Sneha"/>
  </r>
  <r>
    <s v="LD20260417"/>
    <s v="Aditya Mishra"/>
    <n v="9688219054"/>
    <s v="aditya.mishra735@gmail.com"/>
    <x v="4"/>
    <x v="3"/>
    <x v="2"/>
    <d v="2026-02-11T00:00:00"/>
    <x v="5"/>
    <x v="37"/>
    <x v="2"/>
    <n v="77975"/>
    <s v="Low"/>
    <s v="Amit"/>
  </r>
  <r>
    <s v="LD20260418"/>
    <s v="Vivaan Jain"/>
    <n v="9332108940"/>
    <s v="vivaan.jain478@gmail.com"/>
    <x v="8"/>
    <x v="5"/>
    <x v="0"/>
    <d v="2026-04-22T00:00:00"/>
    <x v="3"/>
    <x v="100"/>
    <x v="5"/>
    <n v="206090"/>
    <s v="High"/>
    <s v="Vikas"/>
  </r>
  <r>
    <s v="LD20260419"/>
    <s v="Nikhil Mishra"/>
    <n v="9819131092"/>
    <s v="nikhil.mishra969@gmail.com"/>
    <x v="1"/>
    <x v="6"/>
    <x v="4"/>
    <d v="2026-03-06T00:00:00"/>
    <x v="2"/>
    <x v="73"/>
    <x v="4"/>
    <n v="130036"/>
    <s v="High"/>
    <s v="Vikas"/>
  </r>
  <r>
    <s v="LD20260420"/>
    <s v="Neha Borkar"/>
    <n v="9316738097"/>
    <s v="neha.borkar505@gmail.com"/>
    <x v="8"/>
    <x v="5"/>
    <x v="3"/>
    <d v="2026-04-11T00:00:00"/>
    <x v="3"/>
    <x v="164"/>
    <x v="1"/>
    <n v="116493"/>
    <s v="High"/>
    <s v="Rahul"/>
  </r>
  <r>
    <s v="LD20260421"/>
    <s v="Neha Mishra"/>
    <n v="9699023878"/>
    <s v="neha.mishra689@gmail.com"/>
    <x v="8"/>
    <x v="5"/>
    <x v="3"/>
    <d v="2026-06-02T00:00:00"/>
    <x v="4"/>
    <x v="92"/>
    <x v="0"/>
    <n v="88766"/>
    <s v="Low"/>
    <s v="Sneha"/>
  </r>
  <r>
    <s v="LD20260422"/>
    <s v="Akash Sharma"/>
    <n v="9873804932"/>
    <s v="akash.sharma974@gmail.com"/>
    <x v="8"/>
    <x v="4"/>
    <x v="3"/>
    <d v="2026-04-18T00:00:00"/>
    <x v="3"/>
    <x v="6"/>
    <x v="1"/>
    <n v="48228"/>
    <s v="Low"/>
    <s v="Amit"/>
  </r>
  <r>
    <s v="LD20260423"/>
    <s v="Nikhil Gupta"/>
    <n v="9662864445"/>
    <s v="nikhil.gupta86@gmail.com"/>
    <x v="2"/>
    <x v="1"/>
    <x v="3"/>
    <d v="2026-04-30T00:00:00"/>
    <x v="3"/>
    <x v="165"/>
    <x v="5"/>
    <n v="33062"/>
    <s v="Low"/>
    <s v="Amit"/>
  </r>
  <r>
    <s v="LD20260424"/>
    <s v="Rahul Jain"/>
    <n v="9564686275"/>
    <s v="rahul.jain911@gmail.com"/>
    <x v="3"/>
    <x v="5"/>
    <x v="4"/>
    <d v="2026-06-19T00:00:00"/>
    <x v="4"/>
    <x v="103"/>
    <x v="0"/>
    <n v="66707"/>
    <s v="Low"/>
    <s v="Rahul"/>
  </r>
  <r>
    <s v="LD20260425"/>
    <s v="Ishita Patil"/>
    <n v="9762300599"/>
    <s v="ishita.patil919@gmail.com"/>
    <x v="7"/>
    <x v="6"/>
    <x v="3"/>
    <d v="2026-03-11T00:00:00"/>
    <x v="2"/>
    <x v="68"/>
    <x v="2"/>
    <n v="68772"/>
    <s v="Low"/>
    <s v="Amit"/>
  </r>
  <r>
    <s v="LD20260426"/>
    <s v="Akash Borkar"/>
    <n v="9551415343"/>
    <s v="akash.borkar916@gmail.com"/>
    <x v="7"/>
    <x v="4"/>
    <x v="0"/>
    <d v="2026-05-08T00:00:00"/>
    <x v="0"/>
    <x v="114"/>
    <x v="2"/>
    <n v="234590"/>
    <s v="High"/>
    <s v="Priya"/>
  </r>
  <r>
    <s v="LD20260427"/>
    <s v="Ishita Singh"/>
    <n v="9833534632"/>
    <s v="ishita.singh10@gmail.com"/>
    <x v="1"/>
    <x v="2"/>
    <x v="0"/>
    <d v="2026-01-27T00:00:00"/>
    <x v="1"/>
    <x v="104"/>
    <x v="3"/>
    <n v="75748"/>
    <s v="Low"/>
    <s v="Amit"/>
  </r>
  <r>
    <s v="LD20260428"/>
    <s v="Arjun Singh"/>
    <n v="9399403653"/>
    <s v="arjun.singh753@gmail.com"/>
    <x v="6"/>
    <x v="5"/>
    <x v="3"/>
    <d v="2026-04-07T00:00:00"/>
    <x v="3"/>
    <x v="59"/>
    <x v="3"/>
    <n v="119059"/>
    <s v="High"/>
    <s v="Rahul"/>
  </r>
  <r>
    <s v="LD20260429"/>
    <s v="Aman Yadav"/>
    <n v="9545748131"/>
    <s v="aman.yadav340@gmail.com"/>
    <x v="7"/>
    <x v="0"/>
    <x v="2"/>
    <d v="2026-03-17T00:00:00"/>
    <x v="2"/>
    <x v="110"/>
    <x v="4"/>
    <n v="221989"/>
    <s v="High"/>
    <s v="Rahul"/>
  </r>
  <r>
    <s v="LD20260430"/>
    <s v="Vikas Kulkarni"/>
    <n v="9817647663"/>
    <s v="vikas.kulkarni373@gmail.com"/>
    <x v="0"/>
    <x v="4"/>
    <x v="2"/>
    <d v="2026-06-24T00:00:00"/>
    <x v="4"/>
    <x v="13"/>
    <x v="1"/>
    <n v="91565"/>
    <s v="Low"/>
    <s v="Vikas"/>
  </r>
  <r>
    <s v="LD20260431"/>
    <s v="Rohan Jain"/>
    <n v="9514712008"/>
    <s v="rohan.jain622@gmail.com"/>
    <x v="4"/>
    <x v="6"/>
    <x v="1"/>
    <d v="2026-03-25T00:00:00"/>
    <x v="2"/>
    <x v="52"/>
    <x v="5"/>
    <n v="47886"/>
    <s v="Low"/>
    <s v="Priya"/>
  </r>
  <r>
    <s v="LD20260432"/>
    <s v="Yash Borkar"/>
    <n v="9316264256"/>
    <s v="yash.borkar591@gmail.com"/>
    <x v="6"/>
    <x v="3"/>
    <x v="0"/>
    <d v="2026-04-11T00:00:00"/>
    <x v="3"/>
    <x v="164"/>
    <x v="3"/>
    <n v="83628"/>
    <s v="Low"/>
    <s v="Priya"/>
  </r>
  <r>
    <s v="LD20260433"/>
    <s v="Sneha Agrawal"/>
    <n v="9866465755"/>
    <s v="sneha.agrawal558@gmail.com"/>
    <x v="8"/>
    <x v="3"/>
    <x v="1"/>
    <d v="2026-05-21T00:00:00"/>
    <x v="0"/>
    <x v="10"/>
    <x v="3"/>
    <n v="177624"/>
    <s v="High"/>
    <s v="Sneha"/>
  </r>
  <r>
    <s v="LD20260434"/>
    <s v="Vikas Jain"/>
    <n v="9653513670"/>
    <s v="vikas.jain369@gmail.com"/>
    <x v="2"/>
    <x v="2"/>
    <x v="1"/>
    <d v="2026-02-11T00:00:00"/>
    <x v="5"/>
    <x v="37"/>
    <x v="4"/>
    <n v="101028"/>
    <s v="High"/>
    <s v="Priya"/>
  </r>
  <r>
    <s v="LD20260435"/>
    <s v="Karan Singh"/>
    <n v="9831763345"/>
    <s v="karan.singh827@gmail.com"/>
    <x v="3"/>
    <x v="6"/>
    <x v="3"/>
    <d v="2026-03-20T00:00:00"/>
    <x v="2"/>
    <x v="39"/>
    <x v="0"/>
    <n v="163950"/>
    <s v="High"/>
    <s v="Amit"/>
  </r>
  <r>
    <s v="LD20260436"/>
    <s v="Ishita Agrawal"/>
    <n v="9635118304"/>
    <s v="ishita.agrawal991@gmail.com"/>
    <x v="5"/>
    <x v="2"/>
    <x v="4"/>
    <d v="2026-03-11T00:00:00"/>
    <x v="2"/>
    <x v="68"/>
    <x v="4"/>
    <n v="94121"/>
    <s v="Low"/>
    <s v="Sneha"/>
  </r>
  <r>
    <s v="LD20260437"/>
    <s v="Ishita Verma"/>
    <n v="9658558824"/>
    <s v="ishita.verma698@gmail.com"/>
    <x v="7"/>
    <x v="2"/>
    <x v="2"/>
    <d v="2026-04-11T00:00:00"/>
    <x v="3"/>
    <x v="164"/>
    <x v="5"/>
    <n v="39482"/>
    <s v="Low"/>
    <s v="Priya"/>
  </r>
  <r>
    <s v="LD20260438"/>
    <s v="Akash Kulkarni"/>
    <n v="9595511728"/>
    <s v="akash.kulkarni514@gmail.com"/>
    <x v="7"/>
    <x v="1"/>
    <x v="4"/>
    <d v="2026-02-10T00:00:00"/>
    <x v="5"/>
    <x v="129"/>
    <x v="5"/>
    <n v="208463"/>
    <s v="High"/>
    <s v="Vikas"/>
  </r>
  <r>
    <s v="LD20260439"/>
    <s v="Vikas Mishra"/>
    <n v="9520262619"/>
    <s v="vikas.mishra573@gmail.com"/>
    <x v="8"/>
    <x v="0"/>
    <x v="2"/>
    <d v="2026-03-12T00:00:00"/>
    <x v="2"/>
    <x v="166"/>
    <x v="4"/>
    <n v="222593"/>
    <s v="High"/>
    <s v="Amit"/>
  </r>
  <r>
    <s v="LD20260440"/>
    <s v="Arjun Joshi"/>
    <n v="9815547237"/>
    <s v="arjun.joshi461@gmail.com"/>
    <x v="2"/>
    <x v="0"/>
    <x v="3"/>
    <d v="2026-05-17T00:00:00"/>
    <x v="0"/>
    <x v="77"/>
    <x v="4"/>
    <n v="104320"/>
    <s v="High"/>
    <s v="Amit"/>
  </r>
  <r>
    <s v="LD20260441"/>
    <s v="Neha Borkar"/>
    <n v="9322939144"/>
    <s v="neha.borkar72@gmail.com"/>
    <x v="8"/>
    <x v="5"/>
    <x v="1"/>
    <d v="2026-06-04T00:00:00"/>
    <x v="4"/>
    <x v="14"/>
    <x v="5"/>
    <n v="53495"/>
    <s v="Low"/>
    <s v="Priya"/>
  </r>
  <r>
    <s v="LD20260442"/>
    <s v="Arjun Agrawal"/>
    <n v="9555868184"/>
    <s v="arjun.agrawal414@gmail.com"/>
    <x v="8"/>
    <x v="2"/>
    <x v="3"/>
    <d v="2026-04-13T00:00:00"/>
    <x v="3"/>
    <x v="41"/>
    <x v="5"/>
    <n v="236759"/>
    <s v="High"/>
    <s v="Priya"/>
  </r>
  <r>
    <s v="LD20260443"/>
    <s v="Rohan Singh"/>
    <n v="9365517799"/>
    <s v="rohan.singh754@gmail.com"/>
    <x v="5"/>
    <x v="6"/>
    <x v="4"/>
    <d v="2026-06-21T00:00:00"/>
    <x v="4"/>
    <x v="131"/>
    <x v="5"/>
    <n v="188757"/>
    <s v="High"/>
    <s v="Rahul"/>
  </r>
  <r>
    <s v="LD20260444"/>
    <s v="Aditi Verma"/>
    <n v="9887019229"/>
    <s v="aditi.verma515@gmail.com"/>
    <x v="1"/>
    <x v="4"/>
    <x v="2"/>
    <d v="2026-06-20T00:00:00"/>
    <x v="4"/>
    <x v="71"/>
    <x v="1"/>
    <n v="66082"/>
    <s v="Low"/>
    <s v="Vikas"/>
  </r>
  <r>
    <s v="LD20260445"/>
    <s v="Priya Agrawal"/>
    <n v="9730287823"/>
    <s v="priya.agrawal866@gmail.com"/>
    <x v="1"/>
    <x v="4"/>
    <x v="1"/>
    <d v="2026-02-26T00:00:00"/>
    <x v="5"/>
    <x v="31"/>
    <x v="5"/>
    <n v="245619"/>
    <s v="High"/>
    <s v="Rahul"/>
  </r>
  <r>
    <s v="LD20260446"/>
    <s v="Ishita Borkar"/>
    <n v="9796899894"/>
    <s v="ishita.borkar295@gmail.com"/>
    <x v="2"/>
    <x v="0"/>
    <x v="1"/>
    <d v="2026-04-09T00:00:00"/>
    <x v="3"/>
    <x v="167"/>
    <x v="4"/>
    <n v="168557"/>
    <s v="High"/>
    <s v="Vikas"/>
  </r>
  <r>
    <s v="LD20260447"/>
    <s v="Priya Yadav"/>
    <n v="9751507104"/>
    <s v="priya.yadav219@gmail.com"/>
    <x v="7"/>
    <x v="3"/>
    <x v="0"/>
    <d v="2026-01-25T00:00:00"/>
    <x v="1"/>
    <x v="4"/>
    <x v="0"/>
    <n v="104297"/>
    <s v="High"/>
    <s v="Rahul"/>
  </r>
  <r>
    <s v="LD20260448"/>
    <s v="Aman Verma"/>
    <n v="9639312123"/>
    <s v="aman.verma125@gmail.com"/>
    <x v="4"/>
    <x v="3"/>
    <x v="4"/>
    <d v="2026-01-01T00:00:00"/>
    <x v="1"/>
    <x v="146"/>
    <x v="1"/>
    <n v="82105"/>
    <s v="Low"/>
    <s v="Vikas"/>
  </r>
  <r>
    <s v="LD20260449"/>
    <s v="Vivaan Kulkarni"/>
    <n v="9389949477"/>
    <s v="vivaan.kulkarni605@gmail.com"/>
    <x v="9"/>
    <x v="4"/>
    <x v="2"/>
    <d v="2026-01-09T00:00:00"/>
    <x v="1"/>
    <x v="76"/>
    <x v="0"/>
    <n v="136805"/>
    <s v="High"/>
    <s v="Priya"/>
  </r>
  <r>
    <s v="LD20260450"/>
    <s v="Sneha Mishra"/>
    <n v="9654430940"/>
    <s v="sneha.mishra959@gmail.com"/>
    <x v="2"/>
    <x v="6"/>
    <x v="4"/>
    <d v="2026-05-16T00:00:00"/>
    <x v="0"/>
    <x v="153"/>
    <x v="4"/>
    <n v="218002"/>
    <s v="High"/>
    <s v="Priya"/>
  </r>
  <r>
    <s v="LD20260451"/>
    <s v="Sneha Patil"/>
    <n v="9382084240"/>
    <s v="sneha.patil998@gmail.com"/>
    <x v="1"/>
    <x v="5"/>
    <x v="4"/>
    <d v="2026-01-08T00:00:00"/>
    <x v="1"/>
    <x v="19"/>
    <x v="0"/>
    <n v="222540"/>
    <s v="High"/>
    <s v="Vikas"/>
  </r>
  <r>
    <s v="LD20260452"/>
    <s v="Priya Deshmukh"/>
    <n v="9894558524"/>
    <s v="priya.deshmukh384@gmail.com"/>
    <x v="0"/>
    <x v="4"/>
    <x v="1"/>
    <d v="2026-03-12T00:00:00"/>
    <x v="2"/>
    <x v="166"/>
    <x v="1"/>
    <n v="112316"/>
    <s v="High"/>
    <s v="Vikas"/>
  </r>
  <r>
    <s v="LD20260453"/>
    <s v="Yash Deshmukh"/>
    <n v="9859841587"/>
    <s v="yash.deshmukh232@gmail.com"/>
    <x v="7"/>
    <x v="3"/>
    <x v="3"/>
    <d v="2026-05-17T00:00:00"/>
    <x v="0"/>
    <x v="77"/>
    <x v="0"/>
    <n v="178237"/>
    <s v="High"/>
    <s v="Sneha"/>
  </r>
  <r>
    <s v="LD20260454"/>
    <s v="Yash Patel"/>
    <n v="9592903585"/>
    <s v="yash.patel442@gmail.com"/>
    <x v="1"/>
    <x v="0"/>
    <x v="0"/>
    <d v="2026-04-27T00:00:00"/>
    <x v="3"/>
    <x v="87"/>
    <x v="2"/>
    <n v="39329"/>
    <s v="Low"/>
    <s v="Sneha"/>
  </r>
  <r>
    <s v="LD20260455"/>
    <s v="Rahul Joshi"/>
    <n v="9720260966"/>
    <s v="rahul.joshi778@gmail.com"/>
    <x v="9"/>
    <x v="2"/>
    <x v="4"/>
    <d v="2026-05-13T00:00:00"/>
    <x v="0"/>
    <x v="17"/>
    <x v="3"/>
    <n v="204790"/>
    <s v="High"/>
    <s v="Priya"/>
  </r>
  <r>
    <s v="LD20260456"/>
    <s v="Priya Gupta"/>
    <n v="9613075456"/>
    <s v="priya.gupta574@gmail.com"/>
    <x v="9"/>
    <x v="1"/>
    <x v="3"/>
    <d v="2026-06-06T00:00:00"/>
    <x v="4"/>
    <x v="94"/>
    <x v="2"/>
    <n v="119553"/>
    <s v="High"/>
    <s v="Rahul"/>
  </r>
  <r>
    <s v="LD20260457"/>
    <s v="Nikhil Joshi"/>
    <n v="9694231815"/>
    <s v="nikhil.joshi572@gmail.com"/>
    <x v="2"/>
    <x v="3"/>
    <x v="3"/>
    <d v="2026-02-11T00:00:00"/>
    <x v="5"/>
    <x v="37"/>
    <x v="5"/>
    <n v="90149"/>
    <s v="Low"/>
    <s v="Rahul"/>
  </r>
  <r>
    <s v="LD20260458"/>
    <s v="Vivaan Jain"/>
    <n v="9666508191"/>
    <s v="vivaan.jain180@gmail.com"/>
    <x v="4"/>
    <x v="5"/>
    <x v="1"/>
    <d v="2026-01-08T00:00:00"/>
    <x v="1"/>
    <x v="19"/>
    <x v="5"/>
    <n v="37970"/>
    <s v="Low"/>
    <s v="Priya"/>
  </r>
  <r>
    <s v="LD20260459"/>
    <s v="Ananya Agrawal"/>
    <n v="9575232544"/>
    <s v="ananya.agrawal906@gmail.com"/>
    <x v="7"/>
    <x v="5"/>
    <x v="3"/>
    <d v="2026-01-22T00:00:00"/>
    <x v="1"/>
    <x v="34"/>
    <x v="1"/>
    <n v="245222"/>
    <s v="High"/>
    <s v="Priya"/>
  </r>
  <r>
    <s v="LD20260460"/>
    <s v="Arjun Singh"/>
    <n v="9678174091"/>
    <s v="arjun.singh577@gmail.com"/>
    <x v="1"/>
    <x v="0"/>
    <x v="3"/>
    <d v="2026-04-10T00:00:00"/>
    <x v="3"/>
    <x v="53"/>
    <x v="3"/>
    <n v="15562"/>
    <s v="Low"/>
    <s v="Priya"/>
  </r>
  <r>
    <s v="LD20260461"/>
    <s v="Priya Patil"/>
    <n v="9561559957"/>
    <s v="priya.patil532@gmail.com"/>
    <x v="8"/>
    <x v="6"/>
    <x v="4"/>
    <d v="2026-02-11T00:00:00"/>
    <x v="5"/>
    <x v="37"/>
    <x v="0"/>
    <n v="39131"/>
    <s v="Low"/>
    <s v="Priya"/>
  </r>
  <r>
    <s v="LD20260462"/>
    <s v="Yash Singh"/>
    <n v="9811224663"/>
    <s v="yash.singh389@gmail.com"/>
    <x v="4"/>
    <x v="5"/>
    <x v="1"/>
    <d v="2026-01-23T00:00:00"/>
    <x v="1"/>
    <x v="137"/>
    <x v="2"/>
    <n v="243051"/>
    <s v="High"/>
    <s v="Vikas"/>
  </r>
  <r>
    <s v="LD20260463"/>
    <s v="Nikhil Borkar"/>
    <n v="9655425994"/>
    <s v="nikhil.borkar73@gmail.com"/>
    <x v="3"/>
    <x v="2"/>
    <x v="2"/>
    <d v="2026-06-09T00:00:00"/>
    <x v="4"/>
    <x v="168"/>
    <x v="3"/>
    <n v="246992"/>
    <s v="High"/>
    <s v="Priya"/>
  </r>
  <r>
    <s v="LD20260464"/>
    <s v="Aarav Gupta"/>
    <n v="9661353159"/>
    <s v="aarav.gupta210@gmail.com"/>
    <x v="0"/>
    <x v="4"/>
    <x v="4"/>
    <d v="2026-01-27T00:00:00"/>
    <x v="1"/>
    <x v="104"/>
    <x v="2"/>
    <n v="125353"/>
    <s v="High"/>
    <s v="Sneha"/>
  </r>
  <r>
    <s v="LD20260465"/>
    <s v="Yash Yadav"/>
    <n v="9519067464"/>
    <s v="yash.yadav943@gmail.com"/>
    <x v="9"/>
    <x v="5"/>
    <x v="2"/>
    <d v="2026-05-26T00:00:00"/>
    <x v="0"/>
    <x v="119"/>
    <x v="2"/>
    <n v="114914"/>
    <s v="High"/>
    <s v="Priya"/>
  </r>
  <r>
    <s v="LD20260466"/>
    <s v="Vikas Jain"/>
    <n v="9591321827"/>
    <s v="vikas.jain902@gmail.com"/>
    <x v="0"/>
    <x v="2"/>
    <x v="0"/>
    <d v="2026-02-06T00:00:00"/>
    <x v="5"/>
    <x v="15"/>
    <x v="1"/>
    <n v="26447"/>
    <s v="Low"/>
    <s v="Priya"/>
  </r>
  <r>
    <s v="LD20260467"/>
    <s v="Neha Sharma"/>
    <n v="9340088654"/>
    <s v="neha.sharma402@gmail.com"/>
    <x v="9"/>
    <x v="6"/>
    <x v="1"/>
    <d v="2026-06-12T00:00:00"/>
    <x v="4"/>
    <x v="22"/>
    <x v="2"/>
    <n v="220428"/>
    <s v="High"/>
    <s v="Rahul"/>
  </r>
  <r>
    <s v="LD20260468"/>
    <s v="Vivaan Kulkarni"/>
    <n v="9542272760"/>
    <s v="vivaan.kulkarni50@gmail.com"/>
    <x v="9"/>
    <x v="4"/>
    <x v="0"/>
    <d v="2026-02-26T00:00:00"/>
    <x v="5"/>
    <x v="31"/>
    <x v="1"/>
    <n v="78932"/>
    <s v="Low"/>
    <s v="Rahul"/>
  </r>
  <r>
    <s v="LD20260469"/>
    <s v="Rohan Kulkarni"/>
    <n v="9523933938"/>
    <s v="rohan.kulkarni19@gmail.com"/>
    <x v="6"/>
    <x v="6"/>
    <x v="0"/>
    <d v="2026-01-25T00:00:00"/>
    <x v="1"/>
    <x v="4"/>
    <x v="2"/>
    <n v="171454"/>
    <s v="High"/>
    <s v="Vikas"/>
  </r>
  <r>
    <s v="LD20260470"/>
    <s v="Pooja Verma"/>
    <n v="9510303664"/>
    <s v="pooja.verma523@gmail.com"/>
    <x v="9"/>
    <x v="4"/>
    <x v="1"/>
    <d v="2026-01-19T00:00:00"/>
    <x v="1"/>
    <x v="35"/>
    <x v="4"/>
    <n v="157226"/>
    <s v="High"/>
    <s v="Vikas"/>
  </r>
  <r>
    <s v="LD20260471"/>
    <s v="Akash Yadav"/>
    <n v="9320418187"/>
    <s v="akash.yadav811@gmail.com"/>
    <x v="3"/>
    <x v="4"/>
    <x v="3"/>
    <d v="2026-01-14T00:00:00"/>
    <x v="1"/>
    <x v="78"/>
    <x v="1"/>
    <n v="114060"/>
    <s v="High"/>
    <s v="Rahul"/>
  </r>
  <r>
    <s v="LD20260472"/>
    <s v="Nikhil Jain"/>
    <n v="9835148162"/>
    <s v="nikhil.jain214@gmail.com"/>
    <x v="4"/>
    <x v="6"/>
    <x v="1"/>
    <d v="2026-05-10T00:00:00"/>
    <x v="0"/>
    <x v="97"/>
    <x v="3"/>
    <n v="180408"/>
    <s v="High"/>
    <s v="Priya"/>
  </r>
  <r>
    <s v="LD20260473"/>
    <s v="Aditi Verma"/>
    <n v="9883298442"/>
    <s v="aditi.verma628@gmail.com"/>
    <x v="7"/>
    <x v="3"/>
    <x v="1"/>
    <d v="2026-05-14T00:00:00"/>
    <x v="0"/>
    <x v="140"/>
    <x v="0"/>
    <n v="201410"/>
    <s v="High"/>
    <s v="Priya"/>
  </r>
  <r>
    <s v="LD20260474"/>
    <s v="Arjun Verma"/>
    <n v="9650630801"/>
    <s v="arjun.verma377@gmail.com"/>
    <x v="5"/>
    <x v="6"/>
    <x v="2"/>
    <d v="2026-03-21T00:00:00"/>
    <x v="2"/>
    <x v="135"/>
    <x v="4"/>
    <n v="161057"/>
    <s v="High"/>
    <s v="Amit"/>
  </r>
  <r>
    <s v="LD20260475"/>
    <s v="Karan Sharma"/>
    <n v="9815845216"/>
    <s v="karan.sharma81@gmail.com"/>
    <x v="2"/>
    <x v="6"/>
    <x v="0"/>
    <d v="2026-01-30T00:00:00"/>
    <x v="1"/>
    <x v="89"/>
    <x v="1"/>
    <n v="129438"/>
    <s v="High"/>
    <s v="Sneha"/>
  </r>
  <r>
    <s v="LD20260476"/>
    <s v="Akash Yadav"/>
    <n v="9720711873"/>
    <s v="akash.yadav665@gmail.com"/>
    <x v="9"/>
    <x v="3"/>
    <x v="1"/>
    <d v="2026-01-06T00:00:00"/>
    <x v="1"/>
    <x v="169"/>
    <x v="3"/>
    <n v="188484"/>
    <s v="High"/>
    <s v="Priya"/>
  </r>
  <r>
    <s v="LD20260477"/>
    <s v="Aditi Agrawal"/>
    <n v="9834133894"/>
    <s v="aditi.agrawal900@gmail.com"/>
    <x v="5"/>
    <x v="2"/>
    <x v="3"/>
    <d v="2026-06-08T00:00:00"/>
    <x v="4"/>
    <x v="170"/>
    <x v="3"/>
    <n v="45163"/>
    <s v="Low"/>
    <s v="Amit"/>
  </r>
  <r>
    <s v="LD20260478"/>
    <s v="Sneha Patil"/>
    <n v="9853542197"/>
    <s v="sneha.patil357@gmail.com"/>
    <x v="0"/>
    <x v="6"/>
    <x v="2"/>
    <d v="2026-04-08T00:00:00"/>
    <x v="3"/>
    <x v="109"/>
    <x v="2"/>
    <n v="181446"/>
    <s v="High"/>
    <s v="Sneha"/>
  </r>
  <r>
    <s v="LD20260479"/>
    <s v="Akash Patil"/>
    <n v="9646801978"/>
    <s v="akash.patil772@gmail.com"/>
    <x v="9"/>
    <x v="2"/>
    <x v="0"/>
    <d v="2026-03-05T00:00:00"/>
    <x v="2"/>
    <x v="82"/>
    <x v="0"/>
    <n v="99315"/>
    <s v="Low"/>
    <s v="Priya"/>
  </r>
  <r>
    <s v="LD20260480"/>
    <s v="Nikhil Borkar"/>
    <n v="9610232313"/>
    <s v="nikhil.borkar366@gmail.com"/>
    <x v="7"/>
    <x v="5"/>
    <x v="1"/>
    <d v="2026-03-03T00:00:00"/>
    <x v="2"/>
    <x v="150"/>
    <x v="4"/>
    <n v="52285"/>
    <s v="Low"/>
    <s v="Rahul"/>
  </r>
  <r>
    <s v="LD20260481"/>
    <s v="Vivaan Patil"/>
    <n v="9667042649"/>
    <s v="vivaan.patil872@gmail.com"/>
    <x v="7"/>
    <x v="0"/>
    <x v="1"/>
    <d v="2026-06-10T00:00:00"/>
    <x v="4"/>
    <x v="83"/>
    <x v="4"/>
    <n v="41944"/>
    <s v="Low"/>
    <s v="Sneha"/>
  </r>
  <r>
    <s v="LD20260482"/>
    <s v="Rahul Gupta"/>
    <n v="9897233519"/>
    <s v="rahul.gupta544@gmail.com"/>
    <x v="3"/>
    <x v="6"/>
    <x v="2"/>
    <d v="2026-06-19T00:00:00"/>
    <x v="4"/>
    <x v="103"/>
    <x v="4"/>
    <n v="190825"/>
    <s v="High"/>
    <s v="Rahul"/>
  </r>
  <r>
    <s v="LD20260483"/>
    <s v="Karan Gupta"/>
    <n v="9844922070"/>
    <s v="karan.gupta295@gmail.com"/>
    <x v="0"/>
    <x v="6"/>
    <x v="0"/>
    <d v="2026-04-21T00:00:00"/>
    <x v="3"/>
    <x v="106"/>
    <x v="1"/>
    <n v="171027"/>
    <s v="High"/>
    <s v="Priya"/>
  </r>
  <r>
    <s v="LD20260484"/>
    <s v="Sneha Agrawal"/>
    <n v="9755867061"/>
    <s v="sneha.agrawal401@gmail.com"/>
    <x v="9"/>
    <x v="1"/>
    <x v="4"/>
    <d v="2026-03-07T00:00:00"/>
    <x v="2"/>
    <x v="126"/>
    <x v="3"/>
    <n v="78031"/>
    <s v="Low"/>
    <s v="Vikas"/>
  </r>
  <r>
    <s v="LD20260485"/>
    <s v="Yash Patel"/>
    <n v="9890243203"/>
    <s v="yash.patel672@gmail.com"/>
    <x v="8"/>
    <x v="0"/>
    <x v="1"/>
    <d v="2026-01-18T00:00:00"/>
    <x v="1"/>
    <x v="1"/>
    <x v="0"/>
    <n v="201259"/>
    <s v="High"/>
    <s v="Rahul"/>
  </r>
  <r>
    <s v="LD20260486"/>
    <s v="Nikhil Sharma"/>
    <n v="9619997000"/>
    <s v="nikhil.sharma76@gmail.com"/>
    <x v="3"/>
    <x v="1"/>
    <x v="2"/>
    <d v="2026-02-06T00:00:00"/>
    <x v="5"/>
    <x v="15"/>
    <x v="3"/>
    <n v="143765"/>
    <s v="High"/>
    <s v="Amit"/>
  </r>
  <r>
    <s v="LD20260487"/>
    <s v="Sakshi Patel"/>
    <n v="9844217283"/>
    <s v="sakshi.patel922@gmail.com"/>
    <x v="8"/>
    <x v="2"/>
    <x v="4"/>
    <d v="2026-03-19T00:00:00"/>
    <x v="2"/>
    <x v="30"/>
    <x v="1"/>
    <n v="200922"/>
    <s v="High"/>
    <s v="Rahul"/>
  </r>
  <r>
    <s v="LD20260488"/>
    <s v="Sakshi Mehta"/>
    <n v="9714120116"/>
    <s v="sakshi.mehta331@gmail.com"/>
    <x v="1"/>
    <x v="1"/>
    <x v="4"/>
    <d v="2026-04-10T00:00:00"/>
    <x v="3"/>
    <x v="53"/>
    <x v="5"/>
    <n v="185825"/>
    <s v="High"/>
    <s v="Amit"/>
  </r>
  <r>
    <s v="LD20260489"/>
    <s v="Priya Yadav"/>
    <n v="9719750702"/>
    <s v="priya.yadav11@gmail.com"/>
    <x v="6"/>
    <x v="5"/>
    <x v="0"/>
    <d v="2026-01-23T00:00:00"/>
    <x v="1"/>
    <x v="137"/>
    <x v="5"/>
    <n v="183334"/>
    <s v="High"/>
    <s v="Amit"/>
  </r>
  <r>
    <s v="LD20260490"/>
    <s v="Rahul Sharma"/>
    <n v="9523032850"/>
    <s v="rahul.sharma148@gmail.com"/>
    <x v="8"/>
    <x v="0"/>
    <x v="1"/>
    <d v="2026-01-15T00:00:00"/>
    <x v="1"/>
    <x v="133"/>
    <x v="4"/>
    <n v="163004"/>
    <s v="High"/>
    <s v="Priya"/>
  </r>
  <r>
    <s v="LD20260491"/>
    <s v="Vivaan Verma"/>
    <n v="9846014203"/>
    <s v="vivaan.verma303@gmail.com"/>
    <x v="7"/>
    <x v="0"/>
    <x v="0"/>
    <d v="2026-02-03T00:00:00"/>
    <x v="5"/>
    <x v="70"/>
    <x v="3"/>
    <n v="56223"/>
    <s v="Low"/>
    <s v="Priya"/>
  </r>
  <r>
    <s v="LD20260492"/>
    <s v="Ananya Agrawal"/>
    <n v="9659725303"/>
    <s v="ananya.agrawal755@gmail.com"/>
    <x v="6"/>
    <x v="4"/>
    <x v="1"/>
    <d v="2026-04-04T00:00:00"/>
    <x v="3"/>
    <x v="91"/>
    <x v="2"/>
    <n v="248351"/>
    <s v="High"/>
    <s v="Priya"/>
  </r>
  <r>
    <s v="LD20260493"/>
    <s v="Sneha Agrawal"/>
    <n v="9840062286"/>
    <s v="sneha.agrawal390@gmail.com"/>
    <x v="1"/>
    <x v="6"/>
    <x v="2"/>
    <d v="2026-06-16T00:00:00"/>
    <x v="4"/>
    <x v="171"/>
    <x v="5"/>
    <n v="73143"/>
    <s v="Low"/>
    <s v="Sneha"/>
  </r>
  <r>
    <s v="LD20260494"/>
    <s v="Priya Patil"/>
    <n v="9823368899"/>
    <s v="priya.patil8@gmail.com"/>
    <x v="8"/>
    <x v="5"/>
    <x v="3"/>
    <d v="2026-06-19T00:00:00"/>
    <x v="4"/>
    <x v="103"/>
    <x v="2"/>
    <n v="83882"/>
    <s v="Low"/>
    <s v="Rahul"/>
  </r>
  <r>
    <s v="LD20260495"/>
    <s v="Vikas Kulkarni"/>
    <n v="9824747895"/>
    <s v="vikas.kulkarni500@gmail.com"/>
    <x v="3"/>
    <x v="3"/>
    <x v="2"/>
    <d v="2026-04-28T00:00:00"/>
    <x v="3"/>
    <x v="48"/>
    <x v="0"/>
    <n v="116087"/>
    <s v="High"/>
    <s v="Rahul"/>
  </r>
  <r>
    <s v="LD20260496"/>
    <s v="Vikas Kulkarni"/>
    <n v="9740970284"/>
    <s v="vikas.kulkarni946@gmail.com"/>
    <x v="4"/>
    <x v="1"/>
    <x v="1"/>
    <d v="2026-04-20T00:00:00"/>
    <x v="3"/>
    <x v="58"/>
    <x v="2"/>
    <n v="27800"/>
    <s v="Low"/>
    <s v="Amit"/>
  </r>
  <r>
    <s v="LD20260497"/>
    <s v="Ananya Kulkarni"/>
    <n v="9755439045"/>
    <s v="ananya.kulkarni481@gmail.com"/>
    <x v="9"/>
    <x v="1"/>
    <x v="0"/>
    <d v="2026-05-23T00:00:00"/>
    <x v="0"/>
    <x v="27"/>
    <x v="2"/>
    <n v="136868"/>
    <s v="High"/>
    <s v="Priya"/>
  </r>
  <r>
    <s v="LD20260498"/>
    <s v="Yash Yadav"/>
    <n v="9524770326"/>
    <s v="yash.yadav892@gmail.com"/>
    <x v="8"/>
    <x v="4"/>
    <x v="1"/>
    <d v="2026-01-16T00:00:00"/>
    <x v="1"/>
    <x v="93"/>
    <x v="2"/>
    <n v="146719"/>
    <s v="High"/>
    <s v="Priya"/>
  </r>
  <r>
    <s v="LD20260499"/>
    <s v="Aman Patil"/>
    <n v="9723623063"/>
    <s v="aman.patil324@gmail.com"/>
    <x v="4"/>
    <x v="0"/>
    <x v="2"/>
    <d v="2026-01-22T00:00:00"/>
    <x v="1"/>
    <x v="34"/>
    <x v="1"/>
    <n v="215798"/>
    <s v="High"/>
    <s v="Priya"/>
  </r>
  <r>
    <s v="LD20260500"/>
    <s v="Aditya Agrawal"/>
    <n v="9623144125"/>
    <s v="aditya.agrawal464@gmail.com"/>
    <x v="5"/>
    <x v="3"/>
    <x v="3"/>
    <d v="2026-02-22T00:00:00"/>
    <x v="5"/>
    <x v="45"/>
    <x v="0"/>
    <n v="41380"/>
    <s v="Low"/>
    <s v="Sneh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2FD396-29E2-4677-B65E-C83DF30E20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0" firstHeaderRow="1" firstDataRow="1" firstDataCol="1"/>
  <pivotFields count="14">
    <pivotField dataField="1" showAll="0"/>
    <pivotField showAll="0"/>
    <pivotField showAll="0"/>
    <pivotField showAll="0"/>
    <pivotField showAll="0"/>
    <pivotField showAll="0">
      <items count="8">
        <item x="6"/>
        <item x="3"/>
        <item x="0"/>
        <item x="5"/>
        <item x="2"/>
        <item x="4"/>
        <item x="1"/>
        <item t="default"/>
      </items>
    </pivotField>
    <pivotField showAll="0">
      <items count="6">
        <item x="4"/>
        <item x="1"/>
        <item x="3"/>
        <item x="2"/>
        <item x="0"/>
        <item t="default"/>
      </items>
    </pivotField>
    <pivotField numFmtId="14" showAll="0"/>
    <pivotField showAll="0"/>
    <pivotField showAll="0"/>
    <pivotField axis="axisRow" showAll="0">
      <items count="7">
        <item x="2"/>
        <item x="4"/>
        <item x="1"/>
        <item x="3"/>
        <item x="0"/>
        <item x="5"/>
        <item t="default"/>
      </items>
    </pivotField>
    <pivotField showAll="0"/>
    <pivotField showAll="0"/>
    <pivotField showAll="0"/>
  </pivotFields>
  <rowFields count="1">
    <field x="10"/>
  </rowFields>
  <rowItems count="7">
    <i>
      <x/>
    </i>
    <i>
      <x v="1"/>
    </i>
    <i>
      <x v="2"/>
    </i>
    <i>
      <x v="3"/>
    </i>
    <i>
      <x v="4"/>
    </i>
    <i>
      <x v="5"/>
    </i>
    <i t="grand">
      <x/>
    </i>
  </rowItems>
  <colItems count="1">
    <i/>
  </colItems>
  <dataFields count="1">
    <dataField name="Total Lead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31891D-C5FA-4FDE-8B6C-A9BB1B0420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pivotField showAll="0"/>
    <pivotField showAll="0"/>
    <pivotField showAll="0">
      <items count="8">
        <item x="6"/>
        <item x="3"/>
        <item x="0"/>
        <item x="5"/>
        <item x="2"/>
        <item x="4"/>
        <item x="1"/>
        <item t="default"/>
      </items>
    </pivotField>
    <pivotField showAll="0">
      <items count="6">
        <item x="4"/>
        <item x="1"/>
        <item x="3"/>
        <item x="2"/>
        <item x="0"/>
        <item t="default"/>
      </items>
    </pivotField>
    <pivotField numFmtId="14" showAll="0"/>
    <pivotField showAll="0"/>
    <pivotField showAll="0"/>
    <pivotField showAll="0">
      <items count="7">
        <item x="2"/>
        <item x="4"/>
        <item x="1"/>
        <item x="3"/>
        <item x="0"/>
        <item x="5"/>
        <item t="default"/>
      </items>
    </pivotField>
    <pivotField showAll="0"/>
    <pivotField showAll="0"/>
    <pivotField showAll="0"/>
  </pivotFields>
  <rowItems count="1">
    <i/>
  </rowItems>
  <colItems count="1">
    <i/>
  </colItems>
  <dataFields count="1">
    <dataField name="Total Lead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4BB5F-4390-4950-8B6D-989671ED75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14">
    <pivotField showAll="0"/>
    <pivotField showAll="0"/>
    <pivotField showAll="0"/>
    <pivotField showAll="0"/>
    <pivotField showAll="0"/>
    <pivotField showAll="0">
      <items count="8">
        <item x="6"/>
        <item x="3"/>
        <item x="0"/>
        <item x="5"/>
        <item x="2"/>
        <item x="4"/>
        <item x="1"/>
        <item t="default"/>
      </items>
    </pivotField>
    <pivotField showAll="0">
      <items count="6">
        <item x="4"/>
        <item x="1"/>
        <item x="3"/>
        <item x="2"/>
        <item x="0"/>
        <item t="default"/>
      </items>
    </pivotField>
    <pivotField numFmtId="14" showAll="0"/>
    <pivotField showAll="0"/>
    <pivotField dataField="1" showAll="0">
      <items count="173">
        <item x="159"/>
        <item x="144"/>
        <item x="108"/>
        <item x="13"/>
        <item x="111"/>
        <item x="117"/>
        <item x="131"/>
        <item x="71"/>
        <item x="103"/>
        <item x="42"/>
        <item x="86"/>
        <item x="171"/>
        <item x="115"/>
        <item x="95"/>
        <item x="105"/>
        <item x="22"/>
        <item x="55"/>
        <item x="83"/>
        <item x="168"/>
        <item x="170"/>
        <item x="46"/>
        <item x="94"/>
        <item x="152"/>
        <item x="14"/>
        <item x="122"/>
        <item x="92"/>
        <item x="23"/>
        <item x="124"/>
        <item x="161"/>
        <item x="49"/>
        <item x="2"/>
        <item x="80"/>
        <item x="119"/>
        <item x="99"/>
        <item x="143"/>
        <item x="27"/>
        <item x="62"/>
        <item x="10"/>
        <item x="24"/>
        <item x="107"/>
        <item x="0"/>
        <item x="77"/>
        <item x="153"/>
        <item x="64"/>
        <item x="140"/>
        <item x="17"/>
        <item x="43"/>
        <item x="85"/>
        <item x="97"/>
        <item x="25"/>
        <item x="114"/>
        <item x="157"/>
        <item x="101"/>
        <item x="123"/>
        <item x="47"/>
        <item x="21"/>
        <item x="7"/>
        <item x="121"/>
        <item x="165"/>
        <item x="8"/>
        <item x="48"/>
        <item x="87"/>
        <item x="28"/>
        <item x="61"/>
        <item x="90"/>
        <item x="72"/>
        <item x="100"/>
        <item x="106"/>
        <item x="58"/>
        <item x="151"/>
        <item x="6"/>
        <item x="65"/>
        <item x="154"/>
        <item x="51"/>
        <item x="41"/>
        <item x="9"/>
        <item x="164"/>
        <item x="53"/>
        <item x="167"/>
        <item x="109"/>
        <item x="59"/>
        <item x="88"/>
        <item x="12"/>
        <item x="91"/>
        <item x="16"/>
        <item x="136"/>
        <item x="75"/>
        <item x="125"/>
        <item x="158"/>
        <item x="32"/>
        <item x="66"/>
        <item x="52"/>
        <item x="160"/>
        <item x="127"/>
        <item x="5"/>
        <item x="135"/>
        <item x="39"/>
        <item x="30"/>
        <item x="113"/>
        <item x="110"/>
        <item x="116"/>
        <item x="54"/>
        <item x="56"/>
        <item x="166"/>
        <item x="68"/>
        <item x="96"/>
        <item x="149"/>
        <item x="130"/>
        <item x="126"/>
        <item x="73"/>
        <item x="82"/>
        <item x="40"/>
        <item x="150"/>
        <item x="128"/>
        <item x="11"/>
        <item x="132"/>
        <item x="63"/>
        <item x="31"/>
        <item x="155"/>
        <item x="102"/>
        <item x="67"/>
        <item x="45"/>
        <item x="162"/>
        <item x="79"/>
        <item x="18"/>
        <item x="38"/>
        <item x="118"/>
        <item x="138"/>
        <item x="84"/>
        <item x="139"/>
        <item x="163"/>
        <item x="57"/>
        <item x="37"/>
        <item x="129"/>
        <item x="112"/>
        <item x="26"/>
        <item x="15"/>
        <item x="29"/>
        <item x="156"/>
        <item x="70"/>
        <item x="60"/>
        <item x="142"/>
        <item x="3"/>
        <item x="89"/>
        <item x="50"/>
        <item x="81"/>
        <item x="104"/>
        <item x="145"/>
        <item x="4"/>
        <item x="148"/>
        <item x="137"/>
        <item x="34"/>
        <item x="20"/>
        <item x="74"/>
        <item x="35"/>
        <item x="1"/>
        <item x="69"/>
        <item x="93"/>
        <item x="133"/>
        <item x="78"/>
        <item x="44"/>
        <item x="134"/>
        <item x="147"/>
        <item x="76"/>
        <item x="19"/>
        <item x="98"/>
        <item x="169"/>
        <item x="33"/>
        <item x="120"/>
        <item x="36"/>
        <item x="141"/>
        <item x="146"/>
        <item t="default"/>
      </items>
    </pivotField>
    <pivotField showAll="0">
      <items count="7">
        <item x="2"/>
        <item x="4"/>
        <item x="1"/>
        <item x="3"/>
        <item x="0"/>
        <item x="5"/>
        <item t="default"/>
      </items>
    </pivotField>
    <pivotField showAll="0"/>
    <pivotField showAll="0"/>
    <pivotField showAll="0"/>
  </pivotFields>
  <rowItems count="1">
    <i/>
  </rowItems>
  <colItems count="1">
    <i/>
  </colItems>
  <dataFields count="1">
    <dataField name="Average of Lead Age" fld="9"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3CF52B-89F4-4E04-B885-B1BCFFE1F6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J22" firstHeaderRow="0" firstDataRow="1" firstDataCol="1"/>
  <pivotFields count="14">
    <pivotField dataField="1" showAll="0"/>
    <pivotField showAll="0"/>
    <pivotField showAll="0"/>
    <pivotField showAll="0"/>
    <pivotField showAll="0"/>
    <pivotField showAll="0">
      <items count="8">
        <item x="6"/>
        <item x="3"/>
        <item x="0"/>
        <item x="5"/>
        <item x="2"/>
        <item x="4"/>
        <item x="1"/>
        <item t="default"/>
      </items>
    </pivotField>
    <pivotField showAll="0">
      <items count="6">
        <item x="4"/>
        <item x="1"/>
        <item x="3"/>
        <item x="2"/>
        <item x="0"/>
        <item t="default"/>
      </items>
    </pivotField>
    <pivotField numFmtId="14" showAll="0"/>
    <pivotField showAll="0"/>
    <pivotField showAll="0"/>
    <pivotField axis="axisRow" showAll="0">
      <items count="7">
        <item x="2"/>
        <item x="4"/>
        <item x="1"/>
        <item x="3"/>
        <item x="0"/>
        <item x="5"/>
        <item t="default"/>
      </items>
    </pivotField>
    <pivotField dataField="1" showAll="0"/>
    <pivotField showAll="0"/>
    <pivotField showAll="0"/>
  </pivotFields>
  <rowFields count="1">
    <field x="10"/>
  </rowFields>
  <rowItems count="7">
    <i>
      <x/>
    </i>
    <i>
      <x v="1"/>
    </i>
    <i>
      <x v="2"/>
    </i>
    <i>
      <x v="3"/>
    </i>
    <i>
      <x v="4"/>
    </i>
    <i>
      <x v="5"/>
    </i>
    <i t="grand">
      <x/>
    </i>
  </rowItems>
  <colFields count="1">
    <field x="-2"/>
  </colFields>
  <colItems count="2">
    <i>
      <x/>
    </i>
    <i i="1">
      <x v="1"/>
    </i>
  </colItems>
  <dataFields count="2">
    <dataField name="Sum of Potential_Value" fld="11" baseField="0" baseItem="0"/>
    <dataField name="Count of Lead_ID" fld="0" subtotal="count" baseField="0" baseItem="0"/>
  </dataFields>
  <formats count="2">
    <format dxfId="3">
      <pivotArea outline="0" collapsedLevelsAreSubtotals="1" fieldPosition="0"/>
    </format>
    <format dxfId="2">
      <pivotArea collapsedLevelsAreSubtotals="1" fieldPosition="0">
        <references count="2">
          <reference field="4294967294" count="1" selected="0">
            <x v="1"/>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5A1723-917A-4FB8-8EA1-11AA53C220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0" firstHeaderRow="1" firstDataRow="1" firstDataCol="1"/>
  <pivotFields count="14">
    <pivotField showAll="0"/>
    <pivotField showAll="0"/>
    <pivotField showAll="0"/>
    <pivotField showAll="0"/>
    <pivotField showAll="0"/>
    <pivotField showAll="0">
      <items count="8">
        <item x="6"/>
        <item x="3"/>
        <item x="0"/>
        <item x="5"/>
        <item x="2"/>
        <item x="4"/>
        <item x="1"/>
        <item t="default"/>
      </items>
    </pivotField>
    <pivotField showAll="0">
      <items count="6">
        <item x="4"/>
        <item x="1"/>
        <item x="3"/>
        <item x="2"/>
        <item x="0"/>
        <item t="default"/>
      </items>
    </pivotField>
    <pivotField numFmtId="14" showAll="0"/>
    <pivotField showAll="0"/>
    <pivotField showAll="0"/>
    <pivotField axis="axisRow" showAll="0">
      <items count="7">
        <item x="2"/>
        <item x="4"/>
        <item x="1"/>
        <item x="3"/>
        <item x="0"/>
        <item x="5"/>
        <item t="default"/>
      </items>
    </pivotField>
    <pivotField dataField="1" showAll="0"/>
    <pivotField showAll="0"/>
    <pivotField showAll="0"/>
  </pivotFields>
  <rowFields count="1">
    <field x="10"/>
  </rowFields>
  <rowItems count="7">
    <i>
      <x/>
    </i>
    <i>
      <x v="1"/>
    </i>
    <i>
      <x v="2"/>
    </i>
    <i>
      <x v="3"/>
    </i>
    <i>
      <x v="4"/>
    </i>
    <i>
      <x v="5"/>
    </i>
    <i t="grand">
      <x/>
    </i>
  </rowItems>
  <colItems count="1">
    <i/>
  </colItems>
  <dataFields count="1">
    <dataField name="Sum of Potential_Value" fld="11" baseField="0" baseItem="0"/>
  </dataFields>
  <formats count="2">
    <format dxfId="5">
      <pivotArea outline="0" collapsedLevelsAreSubtotals="1" fieldPosition="0"/>
    </format>
    <format dxfId="4">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02B74A-B691-4FDA-A832-79F387E097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4">
    <pivotField showAll="0"/>
    <pivotField showAll="0"/>
    <pivotField showAll="0"/>
    <pivotField showAll="0"/>
    <pivotField showAll="0"/>
    <pivotField showAll="0">
      <items count="8">
        <item x="6"/>
        <item x="3"/>
        <item x="0"/>
        <item x="5"/>
        <item x="2"/>
        <item x="4"/>
        <item x="1"/>
        <item t="default"/>
      </items>
    </pivotField>
    <pivotField showAll="0">
      <items count="6">
        <item x="4"/>
        <item x="1"/>
        <item x="3"/>
        <item x="2"/>
        <item x="0"/>
        <item t="default"/>
      </items>
    </pivotField>
    <pivotField numFmtId="14" showAll="0"/>
    <pivotField showAll="0"/>
    <pivotField showAll="0"/>
    <pivotField showAll="0">
      <items count="7">
        <item x="2"/>
        <item x="4"/>
        <item x="1"/>
        <item x="3"/>
        <item x="0"/>
        <item x="5"/>
        <item t="default"/>
      </items>
    </pivotField>
    <pivotField dataField="1" showAll="0"/>
    <pivotField showAll="0"/>
    <pivotField showAll="0"/>
  </pivotFields>
  <rowItems count="1">
    <i/>
  </rowItems>
  <colItems count="1">
    <i/>
  </colItems>
  <dataFields count="1">
    <dataField name="Sum of Potential_Value" fld="11"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F3B5AE-B1ED-4110-BAC3-688F34BE346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6:B47" firstHeaderRow="1" firstDataRow="1" firstDataCol="1"/>
  <pivotFields count="14">
    <pivotField dataField="1" showAll="0"/>
    <pivotField showAll="0"/>
    <pivotField showAll="0"/>
    <pivotField showAll="0"/>
    <pivotField axis="axisRow" showAll="0">
      <items count="11">
        <item x="3"/>
        <item x="5"/>
        <item x="8"/>
        <item x="1"/>
        <item x="7"/>
        <item x="4"/>
        <item x="2"/>
        <item x="6"/>
        <item x="9"/>
        <item x="0"/>
        <item t="default"/>
      </items>
    </pivotField>
    <pivotField showAll="0">
      <items count="8">
        <item x="6"/>
        <item x="3"/>
        <item x="0"/>
        <item x="5"/>
        <item x="2"/>
        <item x="4"/>
        <item x="1"/>
        <item t="default"/>
      </items>
    </pivotField>
    <pivotField showAll="0">
      <items count="6">
        <item x="4"/>
        <item x="1"/>
        <item x="3"/>
        <item x="2"/>
        <item x="0"/>
        <item t="default"/>
      </items>
    </pivotField>
    <pivotField numFmtId="14" showAll="0"/>
    <pivotField showAll="0">
      <items count="7">
        <item x="1"/>
        <item x="5"/>
        <item x="2"/>
        <item x="3"/>
        <item x="0"/>
        <item x="4"/>
        <item t="default"/>
      </items>
    </pivotField>
    <pivotField showAll="0"/>
    <pivotField showAll="0">
      <items count="7">
        <item x="2"/>
        <item x="4"/>
        <item x="1"/>
        <item x="3"/>
        <item x="0"/>
        <item x="5"/>
        <item t="default"/>
      </items>
    </pivotField>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Lead_ID" fld="0" subtotal="count" baseField="0" baseItem="0"/>
  </dataField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94D8D8-3D8E-46C6-A3F7-2116548E651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4:B31" firstHeaderRow="1" firstDataRow="1" firstDataCol="1"/>
  <pivotFields count="14">
    <pivotField dataField="1" showAll="0"/>
    <pivotField showAll="0"/>
    <pivotField showAll="0"/>
    <pivotField showAll="0"/>
    <pivotField showAll="0"/>
    <pivotField showAll="0">
      <items count="8">
        <item x="6"/>
        <item x="3"/>
        <item x="0"/>
        <item x="5"/>
        <item x="2"/>
        <item x="4"/>
        <item x="1"/>
        <item t="default"/>
      </items>
    </pivotField>
    <pivotField showAll="0">
      <items count="6">
        <item x="4"/>
        <item x="1"/>
        <item x="3"/>
        <item x="2"/>
        <item x="0"/>
        <item t="default"/>
      </items>
    </pivotField>
    <pivotField numFmtId="14" showAll="0"/>
    <pivotField axis="axisRow" showAll="0">
      <items count="7">
        <item x="1"/>
        <item x="5"/>
        <item x="2"/>
        <item x="3"/>
        <item x="0"/>
        <item x="4"/>
        <item t="default"/>
      </items>
    </pivotField>
    <pivotField showAll="0"/>
    <pivotField showAll="0">
      <items count="7">
        <item x="2"/>
        <item x="4"/>
        <item x="1"/>
        <item x="3"/>
        <item x="0"/>
        <item x="5"/>
        <item t="default"/>
      </items>
    </pivotField>
    <pivotField showAll="0"/>
    <pivotField showAll="0"/>
    <pivotField showAll="0"/>
  </pivotFields>
  <rowFields count="1">
    <field x="8"/>
  </rowFields>
  <rowItems count="7">
    <i>
      <x/>
    </i>
    <i>
      <x v="1"/>
    </i>
    <i>
      <x v="2"/>
    </i>
    <i>
      <x v="3"/>
    </i>
    <i>
      <x v="4"/>
    </i>
    <i>
      <x v="5"/>
    </i>
    <i t="grand">
      <x/>
    </i>
  </rowItems>
  <colItems count="1">
    <i/>
  </colItems>
  <dataFields count="1">
    <dataField name="Count of Lead_ID" fld="0"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CAF835-4116-4DE9-8E3E-A46BCB24F1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19" firstHeaderRow="1" firstDataRow="1" firstDataCol="1"/>
  <pivotFields count="14">
    <pivotField showAll="0"/>
    <pivotField showAll="0"/>
    <pivotField showAll="0"/>
    <pivotField showAll="0"/>
    <pivotField showAll="0"/>
    <pivotField showAll="0">
      <items count="8">
        <item x="6"/>
        <item x="3"/>
        <item x="0"/>
        <item x="5"/>
        <item x="2"/>
        <item x="4"/>
        <item x="1"/>
        <item t="default"/>
      </items>
    </pivotField>
    <pivotField showAll="0">
      <items count="6">
        <item x="4"/>
        <item x="1"/>
        <item x="3"/>
        <item x="2"/>
        <item x="0"/>
        <item t="default"/>
      </items>
    </pivotField>
    <pivotField numFmtId="14" showAll="0"/>
    <pivotField showAll="0"/>
    <pivotField showAll="0"/>
    <pivotField axis="axisRow" dataField="1" showAll="0">
      <items count="7">
        <item x="2"/>
        <item x="4"/>
        <item x="1"/>
        <item x="3"/>
        <item x="0"/>
        <item x="5"/>
        <item t="default"/>
      </items>
    </pivotField>
    <pivotField showAll="0"/>
    <pivotField showAll="0"/>
    <pivotField showAll="0"/>
  </pivotFields>
  <rowFields count="1">
    <field x="10"/>
  </rowFields>
  <rowItems count="7">
    <i>
      <x/>
    </i>
    <i>
      <x v="1"/>
    </i>
    <i>
      <x v="2"/>
    </i>
    <i>
      <x v="3"/>
    </i>
    <i>
      <x v="4"/>
    </i>
    <i>
      <x v="5"/>
    </i>
    <i t="grand">
      <x/>
    </i>
  </rowItems>
  <colItems count="1">
    <i/>
  </colItems>
  <dataFields count="1">
    <dataField name="Count of Status" fld="10" subtotal="count" showDataAs="percentOfTotal" baseField="0" baseItem="0" numFmtId="10"/>
  </dataFields>
  <chartFormats count="14">
    <chartFormat chart="3"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1"/>
          </reference>
        </references>
      </pivotArea>
    </chartFormat>
    <chartFormat chart="6" format="11">
      <pivotArea type="data" outline="0" fieldPosition="0">
        <references count="2">
          <reference field="4294967294" count="1" selected="0">
            <x v="0"/>
          </reference>
          <reference field="10" count="1" selected="0">
            <x v="2"/>
          </reference>
        </references>
      </pivotArea>
    </chartFormat>
    <chartFormat chart="6" format="12">
      <pivotArea type="data" outline="0" fieldPosition="0">
        <references count="2">
          <reference field="4294967294" count="1" selected="0">
            <x v="0"/>
          </reference>
          <reference field="10" count="1" selected="0">
            <x v="3"/>
          </reference>
        </references>
      </pivotArea>
    </chartFormat>
    <chartFormat chart="6" format="13">
      <pivotArea type="data" outline="0" fieldPosition="0">
        <references count="2">
          <reference field="4294967294" count="1" selected="0">
            <x v="0"/>
          </reference>
          <reference field="10" count="1" selected="0">
            <x v="4"/>
          </reference>
        </references>
      </pivotArea>
    </chartFormat>
    <chartFormat chart="6" format="14">
      <pivotArea type="data" outline="0" fieldPosition="0">
        <references count="2">
          <reference field="4294967294" count="1" selected="0">
            <x v="0"/>
          </reference>
          <reference field="10" count="1" selected="0">
            <x v="5"/>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 chart="3" format="4">
      <pivotArea type="data" outline="0" fieldPosition="0">
        <references count="2">
          <reference field="4294967294" count="1" selected="0">
            <x v="0"/>
          </reference>
          <reference field="10" count="1" selected="0">
            <x v="3"/>
          </reference>
        </references>
      </pivotArea>
    </chartFormat>
    <chartFormat chart="3" format="5">
      <pivotArea type="data" outline="0" fieldPosition="0">
        <references count="2">
          <reference field="4294967294" count="1" selected="0">
            <x v="0"/>
          </reference>
          <reference field="10" count="1" selected="0">
            <x v="4"/>
          </reference>
        </references>
      </pivotArea>
    </chartFormat>
    <chartFormat chart="3" format="6">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F7809E-141C-44DD-B261-433AD9DEE4A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9" firstHeaderRow="1" firstDataRow="1" firstDataCol="1"/>
  <pivotFields count="14">
    <pivotField showAll="0"/>
    <pivotField showAll="0"/>
    <pivotField showAll="0"/>
    <pivotField showAll="0"/>
    <pivotField showAll="0"/>
    <pivotField axis="axisRow" dataField="1" showAll="0">
      <items count="8">
        <item x="6"/>
        <item x="3"/>
        <item x="0"/>
        <item x="5"/>
        <item x="2"/>
        <item x="4"/>
        <item x="1"/>
        <item t="default"/>
      </items>
    </pivotField>
    <pivotField showAll="0">
      <items count="6">
        <item x="4"/>
        <item x="1"/>
        <item x="3"/>
        <item x="2"/>
        <item x="0"/>
        <item t="default"/>
      </items>
    </pivotField>
    <pivotField numFmtId="14" showAll="0"/>
    <pivotField showAll="0"/>
    <pivotField showAll="0"/>
    <pivotField showAll="0">
      <items count="7">
        <item x="2"/>
        <item x="4"/>
        <item x="1"/>
        <item x="3"/>
        <item x="0"/>
        <item x="5"/>
        <item t="default"/>
      </items>
    </pivotField>
    <pivotField showAll="0"/>
    <pivotField showAll="0"/>
    <pivotField showAll="0"/>
  </pivotFields>
  <rowFields count="1">
    <field x="5"/>
  </rowFields>
  <rowItems count="8">
    <i>
      <x/>
    </i>
    <i>
      <x v="1"/>
    </i>
    <i>
      <x v="2"/>
    </i>
    <i>
      <x v="3"/>
    </i>
    <i>
      <x v="4"/>
    </i>
    <i>
      <x v="5"/>
    </i>
    <i>
      <x v="6"/>
    </i>
    <i t="grand">
      <x/>
    </i>
  </rowItems>
  <colItems count="1">
    <i/>
  </colItems>
  <dataFields count="1">
    <dataField name="Count of Lead_Source" fld="5"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506FD8-CFB9-487F-BAE4-FF84E04E080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2:B68" firstHeaderRow="1" firstDataRow="1" firstDataCol="1"/>
  <pivotFields count="14">
    <pivotField showAll="0"/>
    <pivotField showAll="0"/>
    <pivotField showAll="0"/>
    <pivotField showAll="0"/>
    <pivotField showAll="0">
      <items count="11">
        <item x="3"/>
        <item x="5"/>
        <item x="8"/>
        <item x="1"/>
        <item x="7"/>
        <item x="4"/>
        <item x="2"/>
        <item x="6"/>
        <item x="9"/>
        <item x="0"/>
        <item t="default"/>
      </items>
    </pivotField>
    <pivotField showAll="0">
      <items count="8">
        <item x="6"/>
        <item x="3"/>
        <item x="0"/>
        <item x="5"/>
        <item x="2"/>
        <item x="4"/>
        <item x="1"/>
        <item t="default"/>
      </items>
    </pivotField>
    <pivotField axis="axisRow" showAll="0">
      <items count="6">
        <item x="4"/>
        <item x="1"/>
        <item x="3"/>
        <item x="2"/>
        <item x="0"/>
        <item t="default"/>
      </items>
    </pivotField>
    <pivotField numFmtId="14" showAll="0"/>
    <pivotField showAll="0">
      <items count="7">
        <item x="1"/>
        <item x="5"/>
        <item x="2"/>
        <item x="3"/>
        <item x="0"/>
        <item x="4"/>
        <item t="default"/>
      </items>
    </pivotField>
    <pivotField showAll="0"/>
    <pivotField showAll="0">
      <items count="7">
        <item x="2"/>
        <item x="4"/>
        <item x="1"/>
        <item x="3"/>
        <item x="0"/>
        <item x="5"/>
        <item t="default"/>
      </items>
    </pivotField>
    <pivotField dataField="1" showAll="0"/>
    <pivotField showAll="0"/>
    <pivotField showAll="0"/>
  </pivotFields>
  <rowFields count="1">
    <field x="6"/>
  </rowFields>
  <rowItems count="6">
    <i>
      <x/>
    </i>
    <i>
      <x v="1"/>
    </i>
    <i>
      <x v="2"/>
    </i>
    <i>
      <x v="3"/>
    </i>
    <i>
      <x v="4"/>
    </i>
    <i t="grand">
      <x/>
    </i>
  </rowItems>
  <colItems count="1">
    <i/>
  </colItems>
  <dataFields count="1">
    <dataField name="Sum of Potential_Value" fld="11" baseField="0" baseItem="0"/>
  </dataFields>
  <formats count="1">
    <format dxfId="0">
      <pivotArea collapsedLevelsAreSubtotals="1" fieldPosition="0">
        <references count="1">
          <reference field="6" count="0"/>
        </references>
      </pivotArea>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62B422-1A36-45E6-A8A0-DB6BD3277FD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0:B56" firstHeaderRow="1" firstDataRow="1" firstDataCol="1"/>
  <pivotFields count="14">
    <pivotField dataField="1" showAll="0"/>
    <pivotField showAll="0"/>
    <pivotField showAll="0"/>
    <pivotField showAll="0"/>
    <pivotField showAll="0">
      <items count="11">
        <item x="3"/>
        <item x="5"/>
        <item x="8"/>
        <item x="1"/>
        <item x="7"/>
        <item x="4"/>
        <item x="2"/>
        <item x="6"/>
        <item x="9"/>
        <item x="0"/>
        <item t="default"/>
      </items>
    </pivotField>
    <pivotField showAll="0">
      <items count="8">
        <item x="6"/>
        <item x="3"/>
        <item x="0"/>
        <item x="5"/>
        <item x="2"/>
        <item x="4"/>
        <item x="1"/>
        <item t="default"/>
      </items>
    </pivotField>
    <pivotField axis="axisRow" showAll="0">
      <items count="6">
        <item x="4"/>
        <item x="1"/>
        <item x="3"/>
        <item x="2"/>
        <item x="0"/>
        <item t="default"/>
      </items>
    </pivotField>
    <pivotField numFmtId="14" showAll="0"/>
    <pivotField showAll="0">
      <items count="7">
        <item x="1"/>
        <item x="5"/>
        <item x="2"/>
        <item x="3"/>
        <item x="0"/>
        <item x="4"/>
        <item t="default"/>
      </items>
    </pivotField>
    <pivotField showAll="0"/>
    <pivotField showAll="0">
      <items count="7">
        <item x="2"/>
        <item x="4"/>
        <item x="1"/>
        <item x="3"/>
        <item x="0"/>
        <item x="5"/>
        <item t="default"/>
      </items>
    </pivotField>
    <pivotField showAll="0"/>
    <pivotField showAll="0"/>
    <pivotField showAll="0"/>
  </pivotFields>
  <rowFields count="1">
    <field x="6"/>
  </rowFields>
  <rowItems count="6">
    <i>
      <x/>
    </i>
    <i>
      <x v="1"/>
    </i>
    <i>
      <x v="2"/>
    </i>
    <i>
      <x v="3"/>
    </i>
    <i>
      <x v="4"/>
    </i>
    <i t="grand">
      <x/>
    </i>
  </rowItems>
  <colItems count="1">
    <i/>
  </colItems>
  <dataFields count="1">
    <dataField name="Count of Lead_ID" fld="0" subtotal="count" baseField="0" baseItem="0"/>
  </dataFields>
  <chartFormats count="4">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6B3E7F4D-59D0-46D5-8056-EA55F6280B31}" sourceName="Lead_Source">
  <pivotTables>
    <pivotTable tabId="4" name="PivotTable7"/>
    <pivotTable tabId="2" name="PivotTable1"/>
    <pivotTable tabId="2" name="PivotTable2"/>
    <pivotTable tabId="2" name="PivotTable3"/>
    <pivotTable tabId="2" name="PivotTable4"/>
    <pivotTable tabId="2" name="PivotTable5"/>
    <pivotTable tabId="2" name="PivotTable6"/>
    <pivotTable tabId="4" name="PivotTable10"/>
    <pivotTable tabId="4" name="PivotTable11"/>
    <pivotTable tabId="4" name="PivotTable8"/>
    <pivotTable tabId="4" name="PivotTable9"/>
  </pivotTables>
  <data>
    <tabular pivotCacheId="1873600979">
      <items count="7">
        <i x="6" s="1"/>
        <i x="3" s="1"/>
        <i x="0" s="1"/>
        <i x="5"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nterest" xr10:uid="{332B3E4F-4A8B-4874-B46F-FF04507E5CA9}" sourceName="Product_Interest">
  <pivotTables>
    <pivotTable tabId="4" name="PivotTable8"/>
    <pivotTable tabId="2" name="PivotTable1"/>
    <pivotTable tabId="2" name="PivotTable2"/>
    <pivotTable tabId="2" name="PivotTable3"/>
    <pivotTable tabId="2" name="PivotTable4"/>
    <pivotTable tabId="2" name="PivotTable5"/>
    <pivotTable tabId="2" name="PivotTable6"/>
    <pivotTable tabId="4" name="PivotTable10"/>
    <pivotTable tabId="4" name="PivotTable11"/>
    <pivotTable tabId="4" name="PivotTable12"/>
    <pivotTable tabId="4" name="PivotTable7"/>
    <pivotTable tabId="4" name="PivotTable9"/>
  </pivotTables>
  <data>
    <tabular pivotCacheId="1873600979">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41BB115-E827-43FE-8CD1-1414FC1C5C62}" sourceName="Status">
  <pivotTables>
    <pivotTable tabId="4" name="PivotTable9"/>
    <pivotTable tabId="2" name="PivotTable1"/>
    <pivotTable tabId="2" name="PivotTable2"/>
    <pivotTable tabId="2" name="PivotTable3"/>
    <pivotTable tabId="2" name="PivotTable4"/>
    <pivotTable tabId="2" name="PivotTable5"/>
    <pivotTable tabId="2" name="PivotTable6"/>
    <pivotTable tabId="4" name="PivotTable10"/>
    <pivotTable tabId="4" name="PivotTable11"/>
    <pivotTable tabId="4" name="PivotTable12"/>
    <pivotTable tabId="4" name="PivotTable7"/>
    <pivotTable tabId="4" name="PivotTable8"/>
  </pivotTables>
  <data>
    <tabular pivotCacheId="1873600979">
      <items count="6">
        <i x="2" s="1"/>
        <i x="4" s="1"/>
        <i x="1"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_Source" xr10:uid="{EEA015FE-0008-4818-9717-5812891DD222}" cache="Slicer_Lead_Source" caption="Lead_Source" style="SlicerStyleDark1" rowHeight="247650"/>
  <slicer name="Product_Interest" xr10:uid="{1F439EE7-A0B7-4545-8E9C-82C47B1CA62F}" cache="Slicer_Product_Interest" caption="Product_Interest" style="SlicerStyleDark1" rowHeight="247650"/>
  <slicer name="Status" xr10:uid="{E3BEA4D1-19F1-44E2-A41B-8F7CBE248502}" cache="Slicer_Status" caption="Status"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D7CDFE-D9EC-45CC-B454-415DA7883A09}" name="Lead_Data" displayName="Lead_Data" ref="A1:N501" totalsRowShown="0">
  <autoFilter ref="A1:N501" xr:uid="{4BD7CDFE-D9EC-45CC-B454-415DA7883A09}"/>
  <tableColumns count="14">
    <tableColumn id="1" xr3:uid="{6AD6FD66-AC61-452C-BE37-B26A93B7CA7D}" name="Lead_ID"/>
    <tableColumn id="2" xr3:uid="{08AF9451-CDEF-4B8A-86A4-836CCEA09DB8}" name="Customer_Name"/>
    <tableColumn id="3" xr3:uid="{86E27802-A65B-473C-8790-1A318CBDEFFB}" name="Phone" dataDxfId="11"/>
    <tableColumn id="4" xr3:uid="{3E076909-5B4C-4E0D-A961-0F8F6EFAFF74}" name="Email"/>
    <tableColumn id="5" xr3:uid="{8154F6CB-420D-4106-A3E4-DCF7080B0FCD}" name="City"/>
    <tableColumn id="6" xr3:uid="{81FE97F4-5A0D-4ABF-8E78-0F9EBFD583DF}" name="Lead_Source"/>
    <tableColumn id="7" xr3:uid="{F43281E9-2B9B-4C4F-8292-DA876DB0C854}" name="Product_Interest"/>
    <tableColumn id="8" xr3:uid="{54E3546D-31CB-444A-9133-9F30645B90B4}" name="Lead_Date" dataDxfId="10"/>
    <tableColumn id="13" xr3:uid="{4CF07D36-AC7F-4CDE-94E6-EEC48FB83955}" name="Month" dataDxfId="9">
      <calculatedColumnFormula>TEXT(Lead_Data[[#This Row],[Lead_Date]],"mmmm")</calculatedColumnFormula>
    </tableColumn>
    <tableColumn id="14" xr3:uid="{7474C4E3-C9EB-4305-8DB7-BA044E78C0C2}" name="Lead Age" dataDxfId="8">
      <calculatedColumnFormula>TODAY()-Lead_Data[[#This Row],[Lead_Date]]</calculatedColumnFormula>
    </tableColumn>
    <tableColumn id="9" xr3:uid="{6C420A20-01EA-41CD-8110-1BA8D3D220AA}" name="Status"/>
    <tableColumn id="10" xr3:uid="{2D933366-D1AD-4C56-92A6-6EBBB5C14703}" name="Potential_Value"/>
    <tableColumn id="16" xr3:uid="{8893047F-5FB5-4D08-87FB-ED01F344957F}" name="Revenue Category" dataDxfId="7">
      <calculatedColumnFormula>IF(Lead_Data[[#This Row],[Potential_Value]]&gt;100000,"High","Low")</calculatedColumnFormula>
    </tableColumn>
    <tableColumn id="11" xr3:uid="{E4B98CF5-C87B-4317-A776-530683CE02D3}" name="Assigned_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FE66-E7EE-41A4-BF66-4AFEB727DE94}">
  <dimension ref="A1:N501"/>
  <sheetViews>
    <sheetView workbookViewId="0">
      <selection activeCell="N2" sqref="N2"/>
    </sheetView>
  </sheetViews>
  <sheetFormatPr defaultRowHeight="14.4" x14ac:dyDescent="0.3"/>
  <cols>
    <col min="1" max="1" width="9.44140625" customWidth="1"/>
    <col min="2" max="2" width="16.77734375" customWidth="1"/>
    <col min="3" max="3" width="11" bestFit="1" customWidth="1"/>
    <col min="6" max="6" width="13.44140625" customWidth="1"/>
    <col min="7" max="7" width="16.6640625" customWidth="1"/>
    <col min="8" max="10" width="11.5546875" customWidth="1"/>
    <col min="12" max="12" width="15.88671875" customWidth="1"/>
    <col min="13" max="13" width="18" bestFit="1" customWidth="1"/>
    <col min="14" max="14" width="13" customWidth="1"/>
  </cols>
  <sheetData>
    <row r="1" spans="1:14" x14ac:dyDescent="0.3">
      <c r="A1" t="s">
        <v>0</v>
      </c>
      <c r="B1" t="s">
        <v>1</v>
      </c>
      <c r="C1" t="s">
        <v>2</v>
      </c>
      <c r="D1" t="s">
        <v>3</v>
      </c>
      <c r="E1" t="s">
        <v>4</v>
      </c>
      <c r="F1" t="s">
        <v>5</v>
      </c>
      <c r="G1" t="s">
        <v>6</v>
      </c>
      <c r="H1" t="s">
        <v>7</v>
      </c>
      <c r="I1" t="s">
        <v>1289</v>
      </c>
      <c r="J1" t="s">
        <v>1294</v>
      </c>
      <c r="K1" t="s">
        <v>8</v>
      </c>
      <c r="L1" t="s">
        <v>9</v>
      </c>
      <c r="M1" t="s">
        <v>1295</v>
      </c>
      <c r="N1" t="s">
        <v>10</v>
      </c>
    </row>
    <row r="2" spans="1:14" x14ac:dyDescent="0.3">
      <c r="A2" t="s">
        <v>11</v>
      </c>
      <c r="B2" t="s">
        <v>12</v>
      </c>
      <c r="C2">
        <v>9819722233</v>
      </c>
      <c r="D2" t="s">
        <v>13</v>
      </c>
      <c r="E2" t="s">
        <v>14</v>
      </c>
      <c r="F2" t="s">
        <v>15</v>
      </c>
      <c r="G2" t="s">
        <v>16</v>
      </c>
      <c r="H2" s="1">
        <v>46160</v>
      </c>
      <c r="I2" s="1" t="str">
        <f>TEXT(Lead_Data[[#This Row],[Lead_Date]],"mmmm")</f>
        <v>May</v>
      </c>
      <c r="J2">
        <f ca="1">TODAY()-Lead_Data[[#This Row],[Lead_Date]]</f>
        <v>42</v>
      </c>
      <c r="K2" t="s">
        <v>17</v>
      </c>
      <c r="L2">
        <v>248473</v>
      </c>
      <c r="M2" t="str">
        <f>IF(Lead_Data[[#This Row],[Potential_Value]]&gt;100000,"High","Low")</f>
        <v>High</v>
      </c>
      <c r="N2" t="s">
        <v>18</v>
      </c>
    </row>
    <row r="3" spans="1:14" x14ac:dyDescent="0.3">
      <c r="A3" t="s">
        <v>19</v>
      </c>
      <c r="B3" t="s">
        <v>20</v>
      </c>
      <c r="C3">
        <v>9566126116</v>
      </c>
      <c r="D3" t="s">
        <v>21</v>
      </c>
      <c r="E3" t="s">
        <v>22</v>
      </c>
      <c r="F3" t="s">
        <v>23</v>
      </c>
      <c r="G3" t="s">
        <v>16</v>
      </c>
      <c r="H3" s="1">
        <v>46040</v>
      </c>
      <c r="I3" s="1" t="str">
        <f>TEXT(Lead_Data[[#This Row],[Lead_Date]],"mmmm")</f>
        <v>January</v>
      </c>
      <c r="J3">
        <f ca="1">TODAY()-Lead_Data[[#This Row],[Lead_Date]]</f>
        <v>162</v>
      </c>
      <c r="K3" t="s">
        <v>24</v>
      </c>
      <c r="L3">
        <v>25495</v>
      </c>
      <c r="M3" t="str">
        <f>IF(Lead_Data[[#This Row],[Potential_Value]]&gt;100000,"High","Low")</f>
        <v>Low</v>
      </c>
      <c r="N3" t="s">
        <v>18</v>
      </c>
    </row>
    <row r="4" spans="1:14" x14ac:dyDescent="0.3">
      <c r="A4" t="s">
        <v>25</v>
      </c>
      <c r="B4" t="s">
        <v>26</v>
      </c>
      <c r="C4">
        <v>9318302983</v>
      </c>
      <c r="D4" t="s">
        <v>27</v>
      </c>
      <c r="E4" t="s">
        <v>28</v>
      </c>
      <c r="F4" t="s">
        <v>29</v>
      </c>
      <c r="G4" t="s">
        <v>30</v>
      </c>
      <c r="H4" s="1">
        <v>46170</v>
      </c>
      <c r="I4" s="1" t="str">
        <f>TEXT(Lead_Data[[#This Row],[Lead_Date]],"mmmm")</f>
        <v>May</v>
      </c>
      <c r="J4">
        <f ca="1">TODAY()-Lead_Data[[#This Row],[Lead_Date]]</f>
        <v>32</v>
      </c>
      <c r="K4" t="s">
        <v>31</v>
      </c>
      <c r="L4">
        <v>22211</v>
      </c>
      <c r="M4" t="str">
        <f>IF(Lead_Data[[#This Row],[Potential_Value]]&gt;100000,"High","Low")</f>
        <v>Low</v>
      </c>
      <c r="N4" t="s">
        <v>18</v>
      </c>
    </row>
    <row r="5" spans="1:14" x14ac:dyDescent="0.3">
      <c r="A5" t="s">
        <v>32</v>
      </c>
      <c r="B5" t="s">
        <v>33</v>
      </c>
      <c r="C5">
        <v>9782569631</v>
      </c>
      <c r="D5" t="s">
        <v>34</v>
      </c>
      <c r="E5" t="s">
        <v>28</v>
      </c>
      <c r="F5" t="s">
        <v>15</v>
      </c>
      <c r="G5" t="s">
        <v>16</v>
      </c>
      <c r="H5" s="1">
        <v>46053</v>
      </c>
      <c r="I5" s="1" t="str">
        <f>TEXT(Lead_Data[[#This Row],[Lead_Date]],"mmmm")</f>
        <v>January</v>
      </c>
      <c r="J5">
        <f ca="1">TODAY()-Lead_Data[[#This Row],[Lead_Date]]</f>
        <v>149</v>
      </c>
      <c r="K5" t="s">
        <v>35</v>
      </c>
      <c r="L5">
        <v>57376</v>
      </c>
      <c r="M5" t="str">
        <f>IF(Lead_Data[[#This Row],[Potential_Value]]&gt;100000,"High","Low")</f>
        <v>Low</v>
      </c>
      <c r="N5" t="s">
        <v>36</v>
      </c>
    </row>
    <row r="6" spans="1:14" x14ac:dyDescent="0.3">
      <c r="A6" t="s">
        <v>37</v>
      </c>
      <c r="B6" t="s">
        <v>38</v>
      </c>
      <c r="C6">
        <v>9759982352</v>
      </c>
      <c r="D6" t="s">
        <v>39</v>
      </c>
      <c r="E6" t="s">
        <v>40</v>
      </c>
      <c r="F6" t="s">
        <v>41</v>
      </c>
      <c r="G6" t="s">
        <v>30</v>
      </c>
      <c r="H6" s="1">
        <v>46047</v>
      </c>
      <c r="I6" s="1" t="str">
        <f>TEXT(Lead_Data[[#This Row],[Lead_Date]],"mmmm")</f>
        <v>January</v>
      </c>
      <c r="J6">
        <f ca="1">TODAY()-Lead_Data[[#This Row],[Lead_Date]]</f>
        <v>155</v>
      </c>
      <c r="K6" t="s">
        <v>42</v>
      </c>
      <c r="L6">
        <v>25624</v>
      </c>
      <c r="M6" t="str">
        <f>IF(Lead_Data[[#This Row],[Potential_Value]]&gt;100000,"High","Low")</f>
        <v>Low</v>
      </c>
      <c r="N6" t="s">
        <v>18</v>
      </c>
    </row>
    <row r="7" spans="1:14" x14ac:dyDescent="0.3">
      <c r="A7" t="s">
        <v>43</v>
      </c>
      <c r="B7" t="s">
        <v>44</v>
      </c>
      <c r="C7">
        <v>9367390467</v>
      </c>
      <c r="D7" t="s">
        <v>45</v>
      </c>
      <c r="E7" t="s">
        <v>46</v>
      </c>
      <c r="F7" t="s">
        <v>47</v>
      </c>
      <c r="G7" t="s">
        <v>48</v>
      </c>
      <c r="H7" s="1">
        <v>46103</v>
      </c>
      <c r="I7" s="1" t="str">
        <f>TEXT(Lead_Data[[#This Row],[Lead_Date]],"mmmm")</f>
        <v>March</v>
      </c>
      <c r="J7">
        <f ca="1">TODAY()-Lead_Data[[#This Row],[Lead_Date]]</f>
        <v>99</v>
      </c>
      <c r="K7" t="s">
        <v>49</v>
      </c>
      <c r="L7">
        <v>88582</v>
      </c>
      <c r="M7" t="str">
        <f>IF(Lead_Data[[#This Row],[Potential_Value]]&gt;100000,"High","Low")</f>
        <v>Low</v>
      </c>
      <c r="N7" t="s">
        <v>50</v>
      </c>
    </row>
    <row r="8" spans="1:14" x14ac:dyDescent="0.3">
      <c r="A8" t="s">
        <v>51</v>
      </c>
      <c r="B8" t="s">
        <v>52</v>
      </c>
      <c r="C8">
        <v>9720986393</v>
      </c>
      <c r="D8" t="s">
        <v>53</v>
      </c>
      <c r="E8" t="s">
        <v>54</v>
      </c>
      <c r="F8" t="s">
        <v>47</v>
      </c>
      <c r="G8" t="s">
        <v>48</v>
      </c>
      <c r="H8" s="1">
        <v>46170</v>
      </c>
      <c r="I8" s="1" t="str">
        <f>TEXT(Lead_Data[[#This Row],[Lead_Date]],"mmmm")</f>
        <v>May</v>
      </c>
      <c r="J8">
        <f ca="1">TODAY()-Lead_Data[[#This Row],[Lead_Date]]</f>
        <v>32</v>
      </c>
      <c r="K8" t="s">
        <v>49</v>
      </c>
      <c r="L8">
        <v>201219</v>
      </c>
      <c r="M8" t="str">
        <f>IF(Lead_Data[[#This Row],[Potential_Value]]&gt;100000,"High","Low")</f>
        <v>High</v>
      </c>
      <c r="N8" t="s">
        <v>55</v>
      </c>
    </row>
    <row r="9" spans="1:14" x14ac:dyDescent="0.3">
      <c r="A9" t="s">
        <v>56</v>
      </c>
      <c r="B9" t="s">
        <v>57</v>
      </c>
      <c r="C9">
        <v>9878710461</v>
      </c>
      <c r="D9" t="s">
        <v>58</v>
      </c>
      <c r="E9" t="s">
        <v>59</v>
      </c>
      <c r="F9" t="s">
        <v>60</v>
      </c>
      <c r="G9" t="s">
        <v>61</v>
      </c>
      <c r="H9" s="1">
        <v>46130</v>
      </c>
      <c r="I9" s="1" t="str">
        <f>TEXT(Lead_Data[[#This Row],[Lead_Date]],"mmmm")</f>
        <v>April</v>
      </c>
      <c r="J9">
        <f ca="1">TODAY()-Lead_Data[[#This Row],[Lead_Date]]</f>
        <v>72</v>
      </c>
      <c r="K9" t="s">
        <v>31</v>
      </c>
      <c r="L9">
        <v>138178</v>
      </c>
      <c r="M9" t="str">
        <f>IF(Lead_Data[[#This Row],[Potential_Value]]&gt;100000,"High","Low")</f>
        <v>High</v>
      </c>
      <c r="N9" t="s">
        <v>55</v>
      </c>
    </row>
    <row r="10" spans="1:14" x14ac:dyDescent="0.3">
      <c r="A10" t="s">
        <v>62</v>
      </c>
      <c r="B10" t="s">
        <v>63</v>
      </c>
      <c r="C10">
        <v>9386910239</v>
      </c>
      <c r="D10" t="s">
        <v>64</v>
      </c>
      <c r="E10" t="s">
        <v>65</v>
      </c>
      <c r="F10" t="s">
        <v>41</v>
      </c>
      <c r="G10" t="s">
        <v>61</v>
      </c>
      <c r="H10" s="1">
        <v>46103</v>
      </c>
      <c r="I10" s="1" t="str">
        <f>TEXT(Lead_Data[[#This Row],[Lead_Date]],"mmmm")</f>
        <v>March</v>
      </c>
      <c r="J10">
        <f ca="1">TODAY()-Lead_Data[[#This Row],[Lead_Date]]</f>
        <v>99</v>
      </c>
      <c r="K10" t="s">
        <v>42</v>
      </c>
      <c r="L10">
        <v>140200</v>
      </c>
      <c r="M10" t="str">
        <f>IF(Lead_Data[[#This Row],[Potential_Value]]&gt;100000,"High","Low")</f>
        <v>High</v>
      </c>
      <c r="N10" t="s">
        <v>18</v>
      </c>
    </row>
    <row r="11" spans="1:14" x14ac:dyDescent="0.3">
      <c r="A11" t="s">
        <v>66</v>
      </c>
      <c r="B11" t="s">
        <v>67</v>
      </c>
      <c r="C11">
        <v>9846230636</v>
      </c>
      <c r="D11" t="s">
        <v>68</v>
      </c>
      <c r="E11" t="s">
        <v>14</v>
      </c>
      <c r="F11" t="s">
        <v>23</v>
      </c>
      <c r="G11" t="s">
        <v>61</v>
      </c>
      <c r="H11" s="1">
        <v>46144</v>
      </c>
      <c r="I11" s="1" t="str">
        <f>TEXT(Lead_Data[[#This Row],[Lead_Date]],"mmmm")</f>
        <v>May</v>
      </c>
      <c r="J11">
        <f ca="1">TODAY()-Lead_Data[[#This Row],[Lead_Date]]</f>
        <v>58</v>
      </c>
      <c r="K11" t="s">
        <v>35</v>
      </c>
      <c r="L11">
        <v>161505</v>
      </c>
      <c r="M11" t="str">
        <f>IF(Lead_Data[[#This Row],[Potential_Value]]&gt;100000,"High","Low")</f>
        <v>High</v>
      </c>
      <c r="N11" t="s">
        <v>55</v>
      </c>
    </row>
    <row r="12" spans="1:14" x14ac:dyDescent="0.3">
      <c r="A12" t="s">
        <v>69</v>
      </c>
      <c r="B12" t="s">
        <v>70</v>
      </c>
      <c r="C12">
        <v>9613028344</v>
      </c>
      <c r="D12" t="s">
        <v>71</v>
      </c>
      <c r="E12" t="s">
        <v>65</v>
      </c>
      <c r="F12" t="s">
        <v>72</v>
      </c>
      <c r="G12" t="s">
        <v>16</v>
      </c>
      <c r="H12" s="1">
        <v>46141</v>
      </c>
      <c r="I12" s="1" t="str">
        <f>TEXT(Lead_Data[[#This Row],[Lead_Date]],"mmmm")</f>
        <v>April</v>
      </c>
      <c r="J12">
        <f ca="1">TODAY()-Lead_Data[[#This Row],[Lead_Date]]</f>
        <v>61</v>
      </c>
      <c r="K12" t="s">
        <v>17</v>
      </c>
      <c r="L12">
        <v>139418</v>
      </c>
      <c r="M12" t="str">
        <f>IF(Lead_Data[[#This Row],[Potential_Value]]&gt;100000,"High","Low")</f>
        <v>High</v>
      </c>
      <c r="N12" t="s">
        <v>36</v>
      </c>
    </row>
    <row r="13" spans="1:14" x14ac:dyDescent="0.3">
      <c r="A13" t="s">
        <v>73</v>
      </c>
      <c r="B13" t="s">
        <v>74</v>
      </c>
      <c r="C13">
        <v>9743234300</v>
      </c>
      <c r="D13" t="s">
        <v>75</v>
      </c>
      <c r="E13" t="s">
        <v>76</v>
      </c>
      <c r="F13" t="s">
        <v>60</v>
      </c>
      <c r="G13" t="s">
        <v>48</v>
      </c>
      <c r="H13" s="1">
        <v>46124</v>
      </c>
      <c r="I13" s="1" t="str">
        <f>TEXT(Lead_Data[[#This Row],[Lead_Date]],"mmmm")</f>
        <v>April</v>
      </c>
      <c r="J13">
        <f ca="1">TODAY()-Lead_Data[[#This Row],[Lead_Date]]</f>
        <v>78</v>
      </c>
      <c r="K13" t="s">
        <v>17</v>
      </c>
      <c r="L13">
        <v>53611</v>
      </c>
      <c r="M13" t="str">
        <f>IF(Lead_Data[[#This Row],[Potential_Value]]&gt;100000,"High","Low")</f>
        <v>Low</v>
      </c>
      <c r="N13" t="s">
        <v>55</v>
      </c>
    </row>
    <row r="14" spans="1:14" x14ac:dyDescent="0.3">
      <c r="A14" t="s">
        <v>77</v>
      </c>
      <c r="B14" t="s">
        <v>78</v>
      </c>
      <c r="C14">
        <v>9767783637</v>
      </c>
      <c r="D14" t="s">
        <v>79</v>
      </c>
      <c r="E14" t="s">
        <v>54</v>
      </c>
      <c r="F14" t="s">
        <v>41</v>
      </c>
      <c r="G14" t="s">
        <v>48</v>
      </c>
      <c r="H14" s="1">
        <v>46163</v>
      </c>
      <c r="I14" s="1" t="str">
        <f>TEXT(Lead_Data[[#This Row],[Lead_Date]],"mmmm")</f>
        <v>May</v>
      </c>
      <c r="J14">
        <f ca="1">TODAY()-Lead_Data[[#This Row],[Lead_Date]]</f>
        <v>39</v>
      </c>
      <c r="K14" t="s">
        <v>49</v>
      </c>
      <c r="L14">
        <v>188971</v>
      </c>
      <c r="M14" t="str">
        <f>IF(Lead_Data[[#This Row],[Potential_Value]]&gt;100000,"High","Low")</f>
        <v>High</v>
      </c>
      <c r="N14" t="s">
        <v>55</v>
      </c>
    </row>
    <row r="15" spans="1:14" x14ac:dyDescent="0.3">
      <c r="A15" t="s">
        <v>80</v>
      </c>
      <c r="B15" t="s">
        <v>81</v>
      </c>
      <c r="C15">
        <v>9730306925</v>
      </c>
      <c r="D15" t="s">
        <v>82</v>
      </c>
      <c r="E15" t="s">
        <v>22</v>
      </c>
      <c r="F15" t="s">
        <v>23</v>
      </c>
      <c r="G15" t="s">
        <v>48</v>
      </c>
      <c r="H15" s="1">
        <v>46082</v>
      </c>
      <c r="I15" s="1" t="str">
        <f>TEXT(Lead_Data[[#This Row],[Lead_Date]],"mmmm")</f>
        <v>March</v>
      </c>
      <c r="J15">
        <f ca="1">TODAY()-Lead_Data[[#This Row],[Lead_Date]]</f>
        <v>120</v>
      </c>
      <c r="K15" t="s">
        <v>42</v>
      </c>
      <c r="L15">
        <v>57800</v>
      </c>
      <c r="M15" t="str">
        <f>IF(Lead_Data[[#This Row],[Potential_Value]]&gt;100000,"High","Low")</f>
        <v>Low</v>
      </c>
      <c r="N15" t="s">
        <v>83</v>
      </c>
    </row>
    <row r="16" spans="1:14" x14ac:dyDescent="0.3">
      <c r="A16" t="s">
        <v>84</v>
      </c>
      <c r="B16" t="s">
        <v>85</v>
      </c>
      <c r="C16">
        <v>9581751584</v>
      </c>
      <c r="D16" t="s">
        <v>86</v>
      </c>
      <c r="E16" t="s">
        <v>28</v>
      </c>
      <c r="F16" t="s">
        <v>47</v>
      </c>
      <c r="G16" t="s">
        <v>61</v>
      </c>
      <c r="H16" s="1">
        <v>46117</v>
      </c>
      <c r="I16" s="1" t="str">
        <f>TEXT(Lead_Data[[#This Row],[Lead_Date]],"mmmm")</f>
        <v>April</v>
      </c>
      <c r="J16">
        <f ca="1">TODAY()-Lead_Data[[#This Row],[Lead_Date]]</f>
        <v>85</v>
      </c>
      <c r="K16" t="s">
        <v>31</v>
      </c>
      <c r="L16">
        <v>191008</v>
      </c>
      <c r="M16" t="str">
        <f>IF(Lead_Data[[#This Row],[Potential_Value]]&gt;100000,"High","Low")</f>
        <v>High</v>
      </c>
      <c r="N16" t="s">
        <v>18</v>
      </c>
    </row>
    <row r="17" spans="1:14" x14ac:dyDescent="0.3">
      <c r="A17" t="s">
        <v>87</v>
      </c>
      <c r="B17" t="s">
        <v>88</v>
      </c>
      <c r="C17">
        <v>9871289682</v>
      </c>
      <c r="D17" t="s">
        <v>89</v>
      </c>
      <c r="E17" t="s">
        <v>40</v>
      </c>
      <c r="F17" t="s">
        <v>29</v>
      </c>
      <c r="G17" t="s">
        <v>48</v>
      </c>
      <c r="H17" s="1">
        <v>46197</v>
      </c>
      <c r="I17" s="1" t="str">
        <f>TEXT(Lead_Data[[#This Row],[Lead_Date]],"mmmm")</f>
        <v>June</v>
      </c>
      <c r="J17">
        <f ca="1">TODAY()-Lead_Data[[#This Row],[Lead_Date]]</f>
        <v>5</v>
      </c>
      <c r="K17" t="s">
        <v>24</v>
      </c>
      <c r="L17">
        <v>113316</v>
      </c>
      <c r="M17" t="str">
        <f>IF(Lead_Data[[#This Row],[Potential_Value]]&gt;100000,"High","Low")</f>
        <v>High</v>
      </c>
      <c r="N17" t="s">
        <v>36</v>
      </c>
    </row>
    <row r="18" spans="1:14" x14ac:dyDescent="0.3">
      <c r="A18" t="s">
        <v>90</v>
      </c>
      <c r="B18" t="s">
        <v>91</v>
      </c>
      <c r="C18">
        <v>9835583179</v>
      </c>
      <c r="D18" t="s">
        <v>92</v>
      </c>
      <c r="E18" t="s">
        <v>22</v>
      </c>
      <c r="F18" t="s">
        <v>29</v>
      </c>
      <c r="G18" t="s">
        <v>93</v>
      </c>
      <c r="H18" s="1">
        <v>46040</v>
      </c>
      <c r="I18" s="1" t="str">
        <f>TEXT(Lead_Data[[#This Row],[Lead_Date]],"mmmm")</f>
        <v>January</v>
      </c>
      <c r="J18">
        <f ca="1">TODAY()-Lead_Data[[#This Row],[Lead_Date]]</f>
        <v>162</v>
      </c>
      <c r="K18" t="s">
        <v>17</v>
      </c>
      <c r="L18">
        <v>99143</v>
      </c>
      <c r="M18" t="str">
        <f>IF(Lead_Data[[#This Row],[Potential_Value]]&gt;100000,"High","Low")</f>
        <v>Low</v>
      </c>
      <c r="N18" t="s">
        <v>18</v>
      </c>
    </row>
    <row r="19" spans="1:14" x14ac:dyDescent="0.3">
      <c r="A19" t="s">
        <v>94</v>
      </c>
      <c r="B19" t="s">
        <v>95</v>
      </c>
      <c r="C19">
        <v>9330302435</v>
      </c>
      <c r="D19" t="s">
        <v>96</v>
      </c>
      <c r="E19" t="s">
        <v>14</v>
      </c>
      <c r="F19" t="s">
        <v>15</v>
      </c>
      <c r="G19" t="s">
        <v>16</v>
      </c>
      <c r="H19" s="1">
        <v>46160</v>
      </c>
      <c r="I19" s="1" t="str">
        <f>TEXT(Lead_Data[[#This Row],[Lead_Date]],"mmmm")</f>
        <v>May</v>
      </c>
      <c r="J19">
        <f ca="1">TODAY()-Lead_Data[[#This Row],[Lead_Date]]</f>
        <v>42</v>
      </c>
      <c r="K19" t="s">
        <v>17</v>
      </c>
      <c r="L19">
        <v>28432</v>
      </c>
      <c r="M19" t="str">
        <f>IF(Lead_Data[[#This Row],[Potential_Value]]&gt;100000,"High","Low")</f>
        <v>Low</v>
      </c>
      <c r="N19" t="s">
        <v>50</v>
      </c>
    </row>
    <row r="20" spans="1:14" x14ac:dyDescent="0.3">
      <c r="A20" t="s">
        <v>97</v>
      </c>
      <c r="B20" t="s">
        <v>98</v>
      </c>
      <c r="C20">
        <v>9656625835</v>
      </c>
      <c r="D20" t="s">
        <v>99</v>
      </c>
      <c r="E20" t="s">
        <v>65</v>
      </c>
      <c r="F20" t="s">
        <v>29</v>
      </c>
      <c r="G20" t="s">
        <v>30</v>
      </c>
      <c r="H20" s="1">
        <v>46177</v>
      </c>
      <c r="I20" s="1" t="str">
        <f>TEXT(Lead_Data[[#This Row],[Lead_Date]],"mmmm")</f>
        <v>June</v>
      </c>
      <c r="J20">
        <f ca="1">TODAY()-Lead_Data[[#This Row],[Lead_Date]]</f>
        <v>25</v>
      </c>
      <c r="K20" t="s">
        <v>17</v>
      </c>
      <c r="L20">
        <v>232543</v>
      </c>
      <c r="M20" t="str">
        <f>IF(Lead_Data[[#This Row],[Potential_Value]]&gt;100000,"High","Low")</f>
        <v>High</v>
      </c>
      <c r="N20" t="s">
        <v>55</v>
      </c>
    </row>
    <row r="21" spans="1:14" x14ac:dyDescent="0.3">
      <c r="A21" t="s">
        <v>100</v>
      </c>
      <c r="B21" t="s">
        <v>101</v>
      </c>
      <c r="C21">
        <v>9621527244</v>
      </c>
      <c r="D21" t="s">
        <v>102</v>
      </c>
      <c r="E21" t="s">
        <v>14</v>
      </c>
      <c r="F21" t="s">
        <v>41</v>
      </c>
      <c r="G21" t="s">
        <v>61</v>
      </c>
      <c r="H21" s="1">
        <v>46059</v>
      </c>
      <c r="I21" s="1" t="str">
        <f>TEXT(Lead_Data[[#This Row],[Lead_Date]],"mmmm")</f>
        <v>February</v>
      </c>
      <c r="J21">
        <f ca="1">TODAY()-Lead_Data[[#This Row],[Lead_Date]]</f>
        <v>143</v>
      </c>
      <c r="K21" t="s">
        <v>35</v>
      </c>
      <c r="L21">
        <v>79404</v>
      </c>
      <c r="M21" t="str">
        <f>IF(Lead_Data[[#This Row],[Potential_Value]]&gt;100000,"High","Low")</f>
        <v>Low</v>
      </c>
      <c r="N21" t="s">
        <v>55</v>
      </c>
    </row>
    <row r="22" spans="1:14" x14ac:dyDescent="0.3">
      <c r="A22" t="s">
        <v>103</v>
      </c>
      <c r="B22" t="s">
        <v>104</v>
      </c>
      <c r="C22">
        <v>9780901507</v>
      </c>
      <c r="D22" t="s">
        <v>105</v>
      </c>
      <c r="E22" t="s">
        <v>59</v>
      </c>
      <c r="F22" t="s">
        <v>41</v>
      </c>
      <c r="G22" t="s">
        <v>16</v>
      </c>
      <c r="H22" s="1">
        <v>46115</v>
      </c>
      <c r="I22" s="1" t="str">
        <f>TEXT(Lead_Data[[#This Row],[Lead_Date]],"mmmm")</f>
        <v>April</v>
      </c>
      <c r="J22">
        <f ca="1">TODAY()-Lead_Data[[#This Row],[Lead_Date]]</f>
        <v>87</v>
      </c>
      <c r="K22" t="s">
        <v>17</v>
      </c>
      <c r="L22">
        <v>208742</v>
      </c>
      <c r="M22" t="str">
        <f>IF(Lead_Data[[#This Row],[Potential_Value]]&gt;100000,"High","Low")</f>
        <v>High</v>
      </c>
      <c r="N22" t="s">
        <v>18</v>
      </c>
    </row>
    <row r="23" spans="1:14" x14ac:dyDescent="0.3">
      <c r="A23" t="s">
        <v>106</v>
      </c>
      <c r="B23" t="s">
        <v>107</v>
      </c>
      <c r="C23">
        <v>9845046288</v>
      </c>
      <c r="D23" t="s">
        <v>108</v>
      </c>
      <c r="E23" t="s">
        <v>65</v>
      </c>
      <c r="F23" t="s">
        <v>72</v>
      </c>
      <c r="G23" t="s">
        <v>61</v>
      </c>
      <c r="H23" s="1">
        <v>46155</v>
      </c>
      <c r="I23" s="1" t="str">
        <f>TEXT(Lead_Data[[#This Row],[Lead_Date]],"mmmm")</f>
        <v>May</v>
      </c>
      <c r="J23">
        <f ca="1">TODAY()-Lead_Data[[#This Row],[Lead_Date]]</f>
        <v>47</v>
      </c>
      <c r="K23" t="s">
        <v>31</v>
      </c>
      <c r="L23">
        <v>149615</v>
      </c>
      <c r="M23" t="str">
        <f>IF(Lead_Data[[#This Row],[Potential_Value]]&gt;100000,"High","Low")</f>
        <v>High</v>
      </c>
      <c r="N23" t="s">
        <v>18</v>
      </c>
    </row>
    <row r="24" spans="1:14" x14ac:dyDescent="0.3">
      <c r="A24" t="s">
        <v>109</v>
      </c>
      <c r="B24" t="s">
        <v>110</v>
      </c>
      <c r="C24">
        <v>9792306098</v>
      </c>
      <c r="D24" t="s">
        <v>111</v>
      </c>
      <c r="E24" t="s">
        <v>22</v>
      </c>
      <c r="F24" t="s">
        <v>60</v>
      </c>
      <c r="G24" t="s">
        <v>48</v>
      </c>
      <c r="H24" s="1">
        <v>46072</v>
      </c>
      <c r="I24" s="1" t="str">
        <f>TEXT(Lead_Data[[#This Row],[Lead_Date]],"mmmm")</f>
        <v>February</v>
      </c>
      <c r="J24">
        <f ca="1">TODAY()-Lead_Data[[#This Row],[Lead_Date]]</f>
        <v>130</v>
      </c>
      <c r="K24" t="s">
        <v>35</v>
      </c>
      <c r="L24">
        <v>220587</v>
      </c>
      <c r="M24" t="str">
        <f>IF(Lead_Data[[#This Row],[Potential_Value]]&gt;100000,"High","Low")</f>
        <v>High</v>
      </c>
      <c r="N24" t="s">
        <v>50</v>
      </c>
    </row>
    <row r="25" spans="1:14" x14ac:dyDescent="0.3">
      <c r="A25" t="s">
        <v>112</v>
      </c>
      <c r="B25" t="s">
        <v>113</v>
      </c>
      <c r="C25">
        <v>9613889649</v>
      </c>
      <c r="D25" t="s">
        <v>114</v>
      </c>
      <c r="E25" t="s">
        <v>54</v>
      </c>
      <c r="F25" t="s">
        <v>29</v>
      </c>
      <c r="G25" t="s">
        <v>61</v>
      </c>
      <c r="H25" s="1">
        <v>46030</v>
      </c>
      <c r="I25" s="1" t="str">
        <f>TEXT(Lead_Data[[#This Row],[Lead_Date]],"mmmm")</f>
        <v>January</v>
      </c>
      <c r="J25">
        <f ca="1">TODAY()-Lead_Data[[#This Row],[Lead_Date]]</f>
        <v>172</v>
      </c>
      <c r="K25" t="s">
        <v>31</v>
      </c>
      <c r="L25">
        <v>191540</v>
      </c>
      <c r="M25" t="str">
        <f>IF(Lead_Data[[#This Row],[Potential_Value]]&gt;100000,"High","Low")</f>
        <v>High</v>
      </c>
      <c r="N25" t="s">
        <v>18</v>
      </c>
    </row>
    <row r="26" spans="1:14" x14ac:dyDescent="0.3">
      <c r="A26" t="s">
        <v>115</v>
      </c>
      <c r="B26" t="s">
        <v>116</v>
      </c>
      <c r="C26">
        <v>9658940600</v>
      </c>
      <c r="D26" t="s">
        <v>117</v>
      </c>
      <c r="E26" t="s">
        <v>22</v>
      </c>
      <c r="F26" t="s">
        <v>23</v>
      </c>
      <c r="G26" t="s">
        <v>93</v>
      </c>
      <c r="H26" s="1">
        <v>46043</v>
      </c>
      <c r="I26" s="1" t="str">
        <f>TEXT(Lead_Data[[#This Row],[Lead_Date]],"mmmm")</f>
        <v>January</v>
      </c>
      <c r="J26">
        <f ca="1">TODAY()-Lead_Data[[#This Row],[Lead_Date]]</f>
        <v>159</v>
      </c>
      <c r="K26" t="s">
        <v>24</v>
      </c>
      <c r="L26">
        <v>61565</v>
      </c>
      <c r="M26" t="str">
        <f>IF(Lead_Data[[#This Row],[Potential_Value]]&gt;100000,"High","Low")</f>
        <v>Low</v>
      </c>
      <c r="N26" t="s">
        <v>83</v>
      </c>
    </row>
    <row r="27" spans="1:14" x14ac:dyDescent="0.3">
      <c r="A27" t="s">
        <v>118</v>
      </c>
      <c r="B27" t="s">
        <v>44</v>
      </c>
      <c r="C27">
        <v>9310256129</v>
      </c>
      <c r="D27" t="s">
        <v>119</v>
      </c>
      <c r="E27" t="s">
        <v>65</v>
      </c>
      <c r="F27" t="s">
        <v>60</v>
      </c>
      <c r="G27" t="s">
        <v>30</v>
      </c>
      <c r="H27" s="1">
        <v>46145</v>
      </c>
      <c r="I27" s="1" t="str">
        <f>TEXT(Lead_Data[[#This Row],[Lead_Date]],"mmmm")</f>
        <v>May</v>
      </c>
      <c r="J27">
        <f ca="1">TODAY()-Lead_Data[[#This Row],[Lead_Date]]</f>
        <v>57</v>
      </c>
      <c r="K27" t="s">
        <v>35</v>
      </c>
      <c r="L27">
        <v>41432</v>
      </c>
      <c r="M27" t="str">
        <f>IF(Lead_Data[[#This Row],[Potential_Value]]&gt;100000,"High","Low")</f>
        <v>Low</v>
      </c>
      <c r="N27" t="s">
        <v>55</v>
      </c>
    </row>
    <row r="28" spans="1:14" x14ac:dyDescent="0.3">
      <c r="A28" t="s">
        <v>120</v>
      </c>
      <c r="B28" t="s">
        <v>44</v>
      </c>
      <c r="C28">
        <v>9768240437</v>
      </c>
      <c r="D28" t="s">
        <v>121</v>
      </c>
      <c r="E28" t="s">
        <v>65</v>
      </c>
      <c r="F28" t="s">
        <v>23</v>
      </c>
      <c r="G28" t="s">
        <v>48</v>
      </c>
      <c r="H28" s="1">
        <v>46185</v>
      </c>
      <c r="I28" s="1" t="str">
        <f>TEXT(Lead_Data[[#This Row],[Lead_Date]],"mmmm")</f>
        <v>June</v>
      </c>
      <c r="J28">
        <f ca="1">TODAY()-Lead_Data[[#This Row],[Lead_Date]]</f>
        <v>17</v>
      </c>
      <c r="K28" t="s">
        <v>24</v>
      </c>
      <c r="L28">
        <v>115221</v>
      </c>
      <c r="M28" t="str">
        <f>IF(Lead_Data[[#This Row],[Potential_Value]]&gt;100000,"High","Low")</f>
        <v>High</v>
      </c>
      <c r="N28" t="s">
        <v>36</v>
      </c>
    </row>
    <row r="29" spans="1:14" x14ac:dyDescent="0.3">
      <c r="A29" t="s">
        <v>122</v>
      </c>
      <c r="B29" t="s">
        <v>123</v>
      </c>
      <c r="C29">
        <v>9830287103</v>
      </c>
      <c r="D29" t="s">
        <v>124</v>
      </c>
      <c r="E29" t="s">
        <v>46</v>
      </c>
      <c r="F29" t="s">
        <v>60</v>
      </c>
      <c r="G29" t="s">
        <v>93</v>
      </c>
      <c r="H29" s="1">
        <v>46174</v>
      </c>
      <c r="I29" s="1" t="str">
        <f>TEXT(Lead_Data[[#This Row],[Lead_Date]],"mmmm")</f>
        <v>June</v>
      </c>
      <c r="J29">
        <f ca="1">TODAY()-Lead_Data[[#This Row],[Lead_Date]]</f>
        <v>28</v>
      </c>
      <c r="K29" t="s">
        <v>42</v>
      </c>
      <c r="L29">
        <v>226664</v>
      </c>
      <c r="M29" t="str">
        <f>IF(Lead_Data[[#This Row],[Potential_Value]]&gt;100000,"High","Low")</f>
        <v>High</v>
      </c>
      <c r="N29" t="s">
        <v>18</v>
      </c>
    </row>
    <row r="30" spans="1:14" x14ac:dyDescent="0.3">
      <c r="A30" t="s">
        <v>125</v>
      </c>
      <c r="B30" t="s">
        <v>91</v>
      </c>
      <c r="C30">
        <v>9630926211</v>
      </c>
      <c r="D30" t="s">
        <v>126</v>
      </c>
      <c r="E30" t="s">
        <v>40</v>
      </c>
      <c r="F30" t="s">
        <v>72</v>
      </c>
      <c r="G30" t="s">
        <v>30</v>
      </c>
      <c r="H30" s="1">
        <v>46163</v>
      </c>
      <c r="I30" s="1" t="str">
        <f>TEXT(Lead_Data[[#This Row],[Lead_Date]],"mmmm")</f>
        <v>May</v>
      </c>
      <c r="J30">
        <f ca="1">TODAY()-Lead_Data[[#This Row],[Lead_Date]]</f>
        <v>39</v>
      </c>
      <c r="K30" t="s">
        <v>17</v>
      </c>
      <c r="L30">
        <v>219546</v>
      </c>
      <c r="M30" t="str">
        <f>IF(Lead_Data[[#This Row],[Potential_Value]]&gt;100000,"High","Low")</f>
        <v>High</v>
      </c>
      <c r="N30" t="s">
        <v>36</v>
      </c>
    </row>
    <row r="31" spans="1:14" x14ac:dyDescent="0.3">
      <c r="A31" t="s">
        <v>127</v>
      </c>
      <c r="B31" t="s">
        <v>128</v>
      </c>
      <c r="C31">
        <v>9768224916</v>
      </c>
      <c r="D31" t="s">
        <v>129</v>
      </c>
      <c r="E31" t="s">
        <v>22</v>
      </c>
      <c r="F31" t="s">
        <v>23</v>
      </c>
      <c r="G31" t="s">
        <v>61</v>
      </c>
      <c r="H31" s="1">
        <v>46072</v>
      </c>
      <c r="I31" s="1" t="str">
        <f>TEXT(Lead_Data[[#This Row],[Lead_Date]],"mmmm")</f>
        <v>February</v>
      </c>
      <c r="J31">
        <f ca="1">TODAY()-Lead_Data[[#This Row],[Lead_Date]]</f>
        <v>130</v>
      </c>
      <c r="K31" t="s">
        <v>31</v>
      </c>
      <c r="L31">
        <v>86799</v>
      </c>
      <c r="M31" t="str">
        <f>IF(Lead_Data[[#This Row],[Potential_Value]]&gt;100000,"High","Low")</f>
        <v>Low</v>
      </c>
      <c r="N31" t="s">
        <v>18</v>
      </c>
    </row>
    <row r="32" spans="1:14" x14ac:dyDescent="0.3">
      <c r="A32" t="s">
        <v>130</v>
      </c>
      <c r="B32" t="s">
        <v>131</v>
      </c>
      <c r="C32">
        <v>9644811353</v>
      </c>
      <c r="D32" t="s">
        <v>132</v>
      </c>
      <c r="E32" t="s">
        <v>76</v>
      </c>
      <c r="F32" t="s">
        <v>60</v>
      </c>
      <c r="G32" t="s">
        <v>93</v>
      </c>
      <c r="H32" s="1">
        <v>46162</v>
      </c>
      <c r="I32" s="1" t="str">
        <f>TEXT(Lead_Data[[#This Row],[Lead_Date]],"mmmm")</f>
        <v>May</v>
      </c>
      <c r="J32">
        <f ca="1">TODAY()-Lead_Data[[#This Row],[Lead_Date]]</f>
        <v>40</v>
      </c>
      <c r="K32" t="s">
        <v>17</v>
      </c>
      <c r="L32">
        <v>248555</v>
      </c>
      <c r="M32" t="str">
        <f>IF(Lead_Data[[#This Row],[Potential_Value]]&gt;100000,"High","Low")</f>
        <v>High</v>
      </c>
      <c r="N32" t="s">
        <v>83</v>
      </c>
    </row>
    <row r="33" spans="1:14" x14ac:dyDescent="0.3">
      <c r="A33" t="s">
        <v>133</v>
      </c>
      <c r="B33" t="s">
        <v>134</v>
      </c>
      <c r="C33">
        <v>9366455770</v>
      </c>
      <c r="D33" t="s">
        <v>135</v>
      </c>
      <c r="E33" t="s">
        <v>59</v>
      </c>
      <c r="F33" t="s">
        <v>47</v>
      </c>
      <c r="G33" t="s">
        <v>93</v>
      </c>
      <c r="H33" s="1">
        <v>46151</v>
      </c>
      <c r="I33" s="1" t="str">
        <f>TEXT(Lead_Data[[#This Row],[Lead_Date]],"mmmm")</f>
        <v>May</v>
      </c>
      <c r="J33">
        <f ca="1">TODAY()-Lead_Data[[#This Row],[Lead_Date]]</f>
        <v>51</v>
      </c>
      <c r="K33" t="s">
        <v>42</v>
      </c>
      <c r="L33">
        <v>143836</v>
      </c>
      <c r="M33" t="str">
        <f>IF(Lead_Data[[#This Row],[Potential_Value]]&gt;100000,"High","Low")</f>
        <v>High</v>
      </c>
      <c r="N33" t="s">
        <v>36</v>
      </c>
    </row>
    <row r="34" spans="1:14" x14ac:dyDescent="0.3">
      <c r="A34" t="s">
        <v>136</v>
      </c>
      <c r="B34" t="s">
        <v>137</v>
      </c>
      <c r="C34">
        <v>9310527808</v>
      </c>
      <c r="D34" t="s">
        <v>138</v>
      </c>
      <c r="E34" t="s">
        <v>59</v>
      </c>
      <c r="F34" t="s">
        <v>72</v>
      </c>
      <c r="G34" t="s">
        <v>48</v>
      </c>
      <c r="H34" s="1">
        <v>46061</v>
      </c>
      <c r="I34" s="1" t="str">
        <f>TEXT(Lead_Data[[#This Row],[Lead_Date]],"mmmm")</f>
        <v>February</v>
      </c>
      <c r="J34">
        <f ca="1">TODAY()-Lead_Data[[#This Row],[Lead_Date]]</f>
        <v>141</v>
      </c>
      <c r="K34" t="s">
        <v>42</v>
      </c>
      <c r="L34">
        <v>200105</v>
      </c>
      <c r="M34" t="str">
        <f>IF(Lead_Data[[#This Row],[Potential_Value]]&gt;100000,"High","Low")</f>
        <v>High</v>
      </c>
      <c r="N34" t="s">
        <v>36</v>
      </c>
    </row>
    <row r="35" spans="1:14" x14ac:dyDescent="0.3">
      <c r="A35" t="s">
        <v>139</v>
      </c>
      <c r="B35" t="s">
        <v>140</v>
      </c>
      <c r="C35">
        <v>9381232885</v>
      </c>
      <c r="D35" t="s">
        <v>141</v>
      </c>
      <c r="E35" t="s">
        <v>46</v>
      </c>
      <c r="F35" t="s">
        <v>60</v>
      </c>
      <c r="G35" t="s">
        <v>30</v>
      </c>
      <c r="H35" s="1">
        <v>46165</v>
      </c>
      <c r="I35" s="1" t="str">
        <f>TEXT(Lead_Data[[#This Row],[Lead_Date]],"mmmm")</f>
        <v>May</v>
      </c>
      <c r="J35">
        <f ca="1">TODAY()-Lead_Data[[#This Row],[Lead_Date]]</f>
        <v>37</v>
      </c>
      <c r="K35" t="s">
        <v>42</v>
      </c>
      <c r="L35">
        <v>24895</v>
      </c>
      <c r="M35" t="str">
        <f>IF(Lead_Data[[#This Row],[Potential_Value]]&gt;100000,"High","Low")</f>
        <v>Low</v>
      </c>
      <c r="N35" t="s">
        <v>50</v>
      </c>
    </row>
    <row r="36" spans="1:14" x14ac:dyDescent="0.3">
      <c r="A36" t="s">
        <v>142</v>
      </c>
      <c r="B36" t="s">
        <v>143</v>
      </c>
      <c r="C36">
        <v>9878144218</v>
      </c>
      <c r="D36" t="s">
        <v>144</v>
      </c>
      <c r="E36" t="s">
        <v>40</v>
      </c>
      <c r="F36" t="s">
        <v>23</v>
      </c>
      <c r="G36" t="s">
        <v>30</v>
      </c>
      <c r="H36" s="1">
        <v>46138</v>
      </c>
      <c r="I36" s="1" t="str">
        <f>TEXT(Lead_Data[[#This Row],[Lead_Date]],"mmmm")</f>
        <v>April</v>
      </c>
      <c r="J36">
        <f ca="1">TODAY()-Lead_Data[[#This Row],[Lead_Date]]</f>
        <v>64</v>
      </c>
      <c r="K36" t="s">
        <v>24</v>
      </c>
      <c r="L36">
        <v>95357</v>
      </c>
      <c r="M36" t="str">
        <f>IF(Lead_Data[[#This Row],[Potential_Value]]&gt;100000,"High","Low")</f>
        <v>Low</v>
      </c>
      <c r="N36" t="s">
        <v>18</v>
      </c>
    </row>
    <row r="37" spans="1:14" x14ac:dyDescent="0.3">
      <c r="A37" t="s">
        <v>145</v>
      </c>
      <c r="B37" t="s">
        <v>146</v>
      </c>
      <c r="C37">
        <v>9747203213</v>
      </c>
      <c r="D37" t="s">
        <v>147</v>
      </c>
      <c r="E37" t="s">
        <v>40</v>
      </c>
      <c r="F37" t="s">
        <v>47</v>
      </c>
      <c r="G37" t="s">
        <v>48</v>
      </c>
      <c r="H37" s="1">
        <v>46138</v>
      </c>
      <c r="I37" s="1" t="str">
        <f>TEXT(Lead_Data[[#This Row],[Lead_Date]],"mmmm")</f>
        <v>April</v>
      </c>
      <c r="J37">
        <f ca="1">TODAY()-Lead_Data[[#This Row],[Lead_Date]]</f>
        <v>64</v>
      </c>
      <c r="K37" t="s">
        <v>42</v>
      </c>
      <c r="L37">
        <v>74921</v>
      </c>
      <c r="M37" t="str">
        <f>IF(Lead_Data[[#This Row],[Potential_Value]]&gt;100000,"High","Low")</f>
        <v>Low</v>
      </c>
      <c r="N37" t="s">
        <v>18</v>
      </c>
    </row>
    <row r="38" spans="1:14" x14ac:dyDescent="0.3">
      <c r="A38" t="s">
        <v>148</v>
      </c>
      <c r="B38" t="s">
        <v>149</v>
      </c>
      <c r="C38">
        <v>9770066221</v>
      </c>
      <c r="D38" t="s">
        <v>150</v>
      </c>
      <c r="E38" t="s">
        <v>76</v>
      </c>
      <c r="F38" t="s">
        <v>23</v>
      </c>
      <c r="G38" t="s">
        <v>48</v>
      </c>
      <c r="H38" s="1">
        <v>46058</v>
      </c>
      <c r="I38" s="1" t="str">
        <f>TEXT(Lead_Data[[#This Row],[Lead_Date]],"mmmm")</f>
        <v>February</v>
      </c>
      <c r="J38">
        <f ca="1">TODAY()-Lead_Data[[#This Row],[Lead_Date]]</f>
        <v>144</v>
      </c>
      <c r="K38" t="s">
        <v>24</v>
      </c>
      <c r="L38">
        <v>92832</v>
      </c>
      <c r="M38" t="str">
        <f>IF(Lead_Data[[#This Row],[Potential_Value]]&gt;100000,"High","Low")</f>
        <v>Low</v>
      </c>
      <c r="N38" t="s">
        <v>36</v>
      </c>
    </row>
    <row r="39" spans="1:14" x14ac:dyDescent="0.3">
      <c r="A39" t="s">
        <v>151</v>
      </c>
      <c r="B39" t="s">
        <v>152</v>
      </c>
      <c r="C39">
        <v>9799855030</v>
      </c>
      <c r="D39" t="s">
        <v>153</v>
      </c>
      <c r="E39" t="s">
        <v>14</v>
      </c>
      <c r="F39" t="s">
        <v>60</v>
      </c>
      <c r="G39" t="s">
        <v>93</v>
      </c>
      <c r="H39" s="1">
        <v>46100</v>
      </c>
      <c r="I39" s="1" t="str">
        <f>TEXT(Lead_Data[[#This Row],[Lead_Date]],"mmmm")</f>
        <v>March</v>
      </c>
      <c r="J39">
        <f ca="1">TODAY()-Lead_Data[[#This Row],[Lead_Date]]</f>
        <v>102</v>
      </c>
      <c r="K39" t="s">
        <v>35</v>
      </c>
      <c r="L39">
        <v>178678</v>
      </c>
      <c r="M39" t="str">
        <f>IF(Lead_Data[[#This Row],[Potential_Value]]&gt;100000,"High","Low")</f>
        <v>High</v>
      </c>
      <c r="N39" t="s">
        <v>83</v>
      </c>
    </row>
    <row r="40" spans="1:14" x14ac:dyDescent="0.3">
      <c r="A40" t="s">
        <v>154</v>
      </c>
      <c r="B40" t="s">
        <v>33</v>
      </c>
      <c r="C40">
        <v>9772778440</v>
      </c>
      <c r="D40" t="s">
        <v>155</v>
      </c>
      <c r="E40" t="s">
        <v>14</v>
      </c>
      <c r="F40" t="s">
        <v>29</v>
      </c>
      <c r="G40" t="s">
        <v>48</v>
      </c>
      <c r="H40" s="1">
        <v>46079</v>
      </c>
      <c r="I40" s="1" t="str">
        <f>TEXT(Lead_Data[[#This Row],[Lead_Date]],"mmmm")</f>
        <v>February</v>
      </c>
      <c r="J40">
        <f ca="1">TODAY()-Lead_Data[[#This Row],[Lead_Date]]</f>
        <v>123</v>
      </c>
      <c r="K40" t="s">
        <v>31</v>
      </c>
      <c r="L40">
        <v>185068</v>
      </c>
      <c r="M40" t="str">
        <f>IF(Lead_Data[[#This Row],[Potential_Value]]&gt;100000,"High","Low")</f>
        <v>High</v>
      </c>
      <c r="N40" t="s">
        <v>50</v>
      </c>
    </row>
    <row r="41" spans="1:14" x14ac:dyDescent="0.3">
      <c r="A41" t="s">
        <v>156</v>
      </c>
      <c r="B41" t="s">
        <v>52</v>
      </c>
      <c r="C41">
        <v>9364198427</v>
      </c>
      <c r="D41" t="s">
        <v>157</v>
      </c>
      <c r="E41" t="s">
        <v>76</v>
      </c>
      <c r="F41" t="s">
        <v>72</v>
      </c>
      <c r="G41" t="s">
        <v>61</v>
      </c>
      <c r="H41" s="1">
        <v>46109</v>
      </c>
      <c r="I41" s="1" t="str">
        <f>TEXT(Lead_Data[[#This Row],[Lead_Date]],"mmmm")</f>
        <v>March</v>
      </c>
      <c r="J41">
        <f ca="1">TODAY()-Lead_Data[[#This Row],[Lead_Date]]</f>
        <v>93</v>
      </c>
      <c r="K41" t="s">
        <v>49</v>
      </c>
      <c r="L41">
        <v>34168</v>
      </c>
      <c r="M41" t="str">
        <f>IF(Lead_Data[[#This Row],[Potential_Value]]&gt;100000,"High","Low")</f>
        <v>Low</v>
      </c>
      <c r="N41" t="s">
        <v>83</v>
      </c>
    </row>
    <row r="42" spans="1:14" x14ac:dyDescent="0.3">
      <c r="A42" t="s">
        <v>158</v>
      </c>
      <c r="B42" t="s">
        <v>159</v>
      </c>
      <c r="C42">
        <v>9569117285</v>
      </c>
      <c r="D42" t="s">
        <v>160</v>
      </c>
      <c r="E42" t="s">
        <v>76</v>
      </c>
      <c r="F42" t="s">
        <v>15</v>
      </c>
      <c r="G42" t="s">
        <v>16</v>
      </c>
      <c r="H42" s="1">
        <v>46027</v>
      </c>
      <c r="I42" s="1" t="str">
        <f>TEXT(Lead_Data[[#This Row],[Lead_Date]],"mmmm")</f>
        <v>January</v>
      </c>
      <c r="J42">
        <f ca="1">TODAY()-Lead_Data[[#This Row],[Lead_Date]]</f>
        <v>175</v>
      </c>
      <c r="K42" t="s">
        <v>42</v>
      </c>
      <c r="L42">
        <v>87451</v>
      </c>
      <c r="M42" t="str">
        <f>IF(Lead_Data[[#This Row],[Potential_Value]]&gt;100000,"High","Low")</f>
        <v>Low</v>
      </c>
      <c r="N42" t="s">
        <v>18</v>
      </c>
    </row>
    <row r="43" spans="1:14" x14ac:dyDescent="0.3">
      <c r="A43" t="s">
        <v>161</v>
      </c>
      <c r="B43" t="s">
        <v>162</v>
      </c>
      <c r="C43">
        <v>9724063279</v>
      </c>
      <c r="D43" t="s">
        <v>163</v>
      </c>
      <c r="E43" t="s">
        <v>54</v>
      </c>
      <c r="F43" t="s">
        <v>15</v>
      </c>
      <c r="G43" t="s">
        <v>30</v>
      </c>
      <c r="H43" s="1">
        <v>46044</v>
      </c>
      <c r="I43" s="1" t="str">
        <f>TEXT(Lead_Data[[#This Row],[Lead_Date]],"mmmm")</f>
        <v>January</v>
      </c>
      <c r="J43">
        <f ca="1">TODAY()-Lead_Data[[#This Row],[Lead_Date]]</f>
        <v>158</v>
      </c>
      <c r="K43" t="s">
        <v>31</v>
      </c>
      <c r="L43">
        <v>80895</v>
      </c>
      <c r="M43" t="str">
        <f>IF(Lead_Data[[#This Row],[Potential_Value]]&gt;100000,"High","Low")</f>
        <v>Low</v>
      </c>
      <c r="N43" t="s">
        <v>50</v>
      </c>
    </row>
    <row r="44" spans="1:14" x14ac:dyDescent="0.3">
      <c r="A44" t="s">
        <v>164</v>
      </c>
      <c r="B44" t="s">
        <v>165</v>
      </c>
      <c r="C44">
        <v>9664485395</v>
      </c>
      <c r="D44" t="s">
        <v>166</v>
      </c>
      <c r="E44" t="s">
        <v>40</v>
      </c>
      <c r="F44" t="s">
        <v>47</v>
      </c>
      <c r="G44" t="s">
        <v>16</v>
      </c>
      <c r="H44" s="1">
        <v>46061</v>
      </c>
      <c r="I44" s="1" t="str">
        <f>TEXT(Lead_Data[[#This Row],[Lead_Date]],"mmmm")</f>
        <v>February</v>
      </c>
      <c r="J44">
        <f ca="1">TODAY()-Lead_Data[[#This Row],[Lead_Date]]</f>
        <v>141</v>
      </c>
      <c r="K44" t="s">
        <v>24</v>
      </c>
      <c r="L44">
        <v>193610</v>
      </c>
      <c r="M44" t="str">
        <f>IF(Lead_Data[[#This Row],[Potential_Value]]&gt;100000,"High","Low")</f>
        <v>High</v>
      </c>
      <c r="N44" t="s">
        <v>83</v>
      </c>
    </row>
    <row r="45" spans="1:14" x14ac:dyDescent="0.3">
      <c r="A45" t="s">
        <v>167</v>
      </c>
      <c r="B45" t="s">
        <v>168</v>
      </c>
      <c r="C45">
        <v>9767085086</v>
      </c>
      <c r="D45" t="s">
        <v>169</v>
      </c>
      <c r="E45" t="s">
        <v>54</v>
      </c>
      <c r="F45" t="s">
        <v>23</v>
      </c>
      <c r="G45" t="s">
        <v>30</v>
      </c>
      <c r="H45" s="1">
        <v>46041</v>
      </c>
      <c r="I45" s="1" t="str">
        <f>TEXT(Lead_Data[[#This Row],[Lead_Date]],"mmmm")</f>
        <v>January</v>
      </c>
      <c r="J45">
        <f ca="1">TODAY()-Lead_Data[[#This Row],[Lead_Date]]</f>
        <v>161</v>
      </c>
      <c r="K45" t="s">
        <v>49</v>
      </c>
      <c r="L45">
        <v>31952</v>
      </c>
      <c r="M45" t="str">
        <f>IF(Lead_Data[[#This Row],[Potential_Value]]&gt;100000,"High","Low")</f>
        <v>Low</v>
      </c>
      <c r="N45" t="s">
        <v>18</v>
      </c>
    </row>
    <row r="46" spans="1:14" x14ac:dyDescent="0.3">
      <c r="A46" t="s">
        <v>170</v>
      </c>
      <c r="B46" t="s">
        <v>171</v>
      </c>
      <c r="C46">
        <v>9870904451</v>
      </c>
      <c r="D46" t="s">
        <v>172</v>
      </c>
      <c r="E46" t="s">
        <v>65</v>
      </c>
      <c r="F46" t="s">
        <v>47</v>
      </c>
      <c r="G46" t="s">
        <v>48</v>
      </c>
      <c r="H46" s="1">
        <v>46025</v>
      </c>
      <c r="I46" s="1" t="str">
        <f>TEXT(Lead_Data[[#This Row],[Lead_Date]],"mmmm")</f>
        <v>January</v>
      </c>
      <c r="J46">
        <f ca="1">TODAY()-Lead_Data[[#This Row],[Lead_Date]]</f>
        <v>177</v>
      </c>
      <c r="K46" t="s">
        <v>49</v>
      </c>
      <c r="L46">
        <v>172975</v>
      </c>
      <c r="M46" t="str">
        <f>IF(Lead_Data[[#This Row],[Potential_Value]]&gt;100000,"High","Low")</f>
        <v>High</v>
      </c>
      <c r="N46" t="s">
        <v>50</v>
      </c>
    </row>
    <row r="47" spans="1:14" x14ac:dyDescent="0.3">
      <c r="A47" t="s">
        <v>173</v>
      </c>
      <c r="B47" t="s">
        <v>174</v>
      </c>
      <c r="C47">
        <v>9724690326</v>
      </c>
      <c r="D47" t="s">
        <v>175</v>
      </c>
      <c r="E47" t="s">
        <v>54</v>
      </c>
      <c r="F47" t="s">
        <v>23</v>
      </c>
      <c r="G47" t="s">
        <v>93</v>
      </c>
      <c r="H47" s="1">
        <v>46064</v>
      </c>
      <c r="I47" s="1" t="str">
        <f>TEXT(Lead_Data[[#This Row],[Lead_Date]],"mmmm")</f>
        <v>February</v>
      </c>
      <c r="J47">
        <f ca="1">TODAY()-Lead_Data[[#This Row],[Lead_Date]]</f>
        <v>138</v>
      </c>
      <c r="K47" t="s">
        <v>31</v>
      </c>
      <c r="L47">
        <v>91786</v>
      </c>
      <c r="M47" t="str">
        <f>IF(Lead_Data[[#This Row],[Potential_Value]]&gt;100000,"High","Low")</f>
        <v>Low</v>
      </c>
      <c r="N47" t="s">
        <v>83</v>
      </c>
    </row>
    <row r="48" spans="1:14" x14ac:dyDescent="0.3">
      <c r="A48" t="s">
        <v>176</v>
      </c>
      <c r="B48" t="s">
        <v>177</v>
      </c>
      <c r="C48">
        <v>9669819079</v>
      </c>
      <c r="D48" t="s">
        <v>178</v>
      </c>
      <c r="E48" t="s">
        <v>59</v>
      </c>
      <c r="F48" t="s">
        <v>15</v>
      </c>
      <c r="G48" t="s">
        <v>61</v>
      </c>
      <c r="H48" s="1">
        <v>46151</v>
      </c>
      <c r="I48" s="1" t="str">
        <f>TEXT(Lead_Data[[#This Row],[Lead_Date]],"mmmm")</f>
        <v>May</v>
      </c>
      <c r="J48">
        <f ca="1">TODAY()-Lead_Data[[#This Row],[Lead_Date]]</f>
        <v>51</v>
      </c>
      <c r="K48" t="s">
        <v>17</v>
      </c>
      <c r="L48">
        <v>75653</v>
      </c>
      <c r="M48" t="str">
        <f>IF(Lead_Data[[#This Row],[Potential_Value]]&gt;100000,"High","Low")</f>
        <v>Low</v>
      </c>
      <c r="N48" t="s">
        <v>36</v>
      </c>
    </row>
    <row r="49" spans="1:14" x14ac:dyDescent="0.3">
      <c r="A49" t="s">
        <v>179</v>
      </c>
      <c r="B49" t="s">
        <v>180</v>
      </c>
      <c r="C49">
        <v>9383960561</v>
      </c>
      <c r="D49" t="s">
        <v>181</v>
      </c>
      <c r="E49" t="s">
        <v>40</v>
      </c>
      <c r="F49" t="s">
        <v>29</v>
      </c>
      <c r="G49" t="s">
        <v>93</v>
      </c>
      <c r="H49" s="1">
        <v>46071</v>
      </c>
      <c r="I49" s="1" t="str">
        <f>TEXT(Lead_Data[[#This Row],[Lead_Date]],"mmmm")</f>
        <v>February</v>
      </c>
      <c r="J49">
        <f ca="1">TODAY()-Lead_Data[[#This Row],[Lead_Date]]</f>
        <v>131</v>
      </c>
      <c r="K49" t="s">
        <v>24</v>
      </c>
      <c r="L49">
        <v>37861</v>
      </c>
      <c r="M49" t="str">
        <f>IF(Lead_Data[[#This Row],[Potential_Value]]&gt;100000,"High","Low")</f>
        <v>Low</v>
      </c>
      <c r="N49" t="s">
        <v>55</v>
      </c>
    </row>
    <row r="50" spans="1:14" x14ac:dyDescent="0.3">
      <c r="A50" t="s">
        <v>182</v>
      </c>
      <c r="B50" t="s">
        <v>183</v>
      </c>
      <c r="C50">
        <v>9578006237</v>
      </c>
      <c r="D50" t="s">
        <v>184</v>
      </c>
      <c r="E50" t="s">
        <v>22</v>
      </c>
      <c r="F50" t="s">
        <v>72</v>
      </c>
      <c r="G50" t="s">
        <v>61</v>
      </c>
      <c r="H50" s="1">
        <v>46101</v>
      </c>
      <c r="I50" s="1" t="str">
        <f>TEXT(Lead_Data[[#This Row],[Lead_Date]],"mmmm")</f>
        <v>March</v>
      </c>
      <c r="J50">
        <f ca="1">TODAY()-Lead_Data[[#This Row],[Lead_Date]]</f>
        <v>101</v>
      </c>
      <c r="K50" t="s">
        <v>31</v>
      </c>
      <c r="L50">
        <v>228178</v>
      </c>
      <c r="M50" t="str">
        <f>IF(Lead_Data[[#This Row],[Potential_Value]]&gt;100000,"High","Low")</f>
        <v>High</v>
      </c>
      <c r="N50" t="s">
        <v>50</v>
      </c>
    </row>
    <row r="51" spans="1:14" x14ac:dyDescent="0.3">
      <c r="A51" t="s">
        <v>185</v>
      </c>
      <c r="B51" t="s">
        <v>186</v>
      </c>
      <c r="C51">
        <v>9711913291</v>
      </c>
      <c r="D51" t="s">
        <v>187</v>
      </c>
      <c r="E51" t="s">
        <v>54</v>
      </c>
      <c r="F51" t="s">
        <v>29</v>
      </c>
      <c r="G51" t="s">
        <v>93</v>
      </c>
      <c r="H51" s="1">
        <v>46041</v>
      </c>
      <c r="I51" s="1" t="str">
        <f>TEXT(Lead_Data[[#This Row],[Lead_Date]],"mmmm")</f>
        <v>January</v>
      </c>
      <c r="J51">
        <f ca="1">TODAY()-Lead_Data[[#This Row],[Lead_Date]]</f>
        <v>161</v>
      </c>
      <c r="K51" t="s">
        <v>17</v>
      </c>
      <c r="L51">
        <v>32147</v>
      </c>
      <c r="M51" t="str">
        <f>IF(Lead_Data[[#This Row],[Potential_Value]]&gt;100000,"High","Low")</f>
        <v>Low</v>
      </c>
      <c r="N51" t="s">
        <v>55</v>
      </c>
    </row>
    <row r="52" spans="1:14" x14ac:dyDescent="0.3">
      <c r="A52" t="s">
        <v>188</v>
      </c>
      <c r="B52" t="s">
        <v>189</v>
      </c>
      <c r="C52">
        <v>9690366678</v>
      </c>
      <c r="D52" t="s">
        <v>190</v>
      </c>
      <c r="E52" t="s">
        <v>54</v>
      </c>
      <c r="F52" t="s">
        <v>23</v>
      </c>
      <c r="G52" t="s">
        <v>48</v>
      </c>
      <c r="H52" s="1">
        <v>46085</v>
      </c>
      <c r="I52" s="1" t="str">
        <f>TEXT(Lead_Data[[#This Row],[Lead_Date]],"mmmm")</f>
        <v>March</v>
      </c>
      <c r="J52">
        <f ca="1">TODAY()-Lead_Data[[#This Row],[Lead_Date]]</f>
        <v>117</v>
      </c>
      <c r="K52" t="s">
        <v>31</v>
      </c>
      <c r="L52">
        <v>51296</v>
      </c>
      <c r="M52" t="str">
        <f>IF(Lead_Data[[#This Row],[Potential_Value]]&gt;100000,"High","Low")</f>
        <v>Low</v>
      </c>
      <c r="N52" t="s">
        <v>83</v>
      </c>
    </row>
    <row r="53" spans="1:14" x14ac:dyDescent="0.3">
      <c r="A53" t="s">
        <v>191</v>
      </c>
      <c r="B53" t="s">
        <v>192</v>
      </c>
      <c r="C53">
        <v>9654147722</v>
      </c>
      <c r="D53" t="s">
        <v>193</v>
      </c>
      <c r="E53" t="s">
        <v>65</v>
      </c>
      <c r="F53" t="s">
        <v>72</v>
      </c>
      <c r="G53" t="s">
        <v>30</v>
      </c>
      <c r="H53" s="1">
        <v>46163</v>
      </c>
      <c r="I53" s="1" t="str">
        <f>TEXT(Lead_Data[[#This Row],[Lead_Date]],"mmmm")</f>
        <v>May</v>
      </c>
      <c r="J53">
        <f ca="1">TODAY()-Lead_Data[[#This Row],[Lead_Date]]</f>
        <v>39</v>
      </c>
      <c r="K53" t="s">
        <v>49</v>
      </c>
      <c r="L53">
        <v>67112</v>
      </c>
      <c r="M53" t="str">
        <f>IF(Lead_Data[[#This Row],[Potential_Value]]&gt;100000,"High","Low")</f>
        <v>Low</v>
      </c>
      <c r="N53" t="s">
        <v>83</v>
      </c>
    </row>
    <row r="54" spans="1:14" x14ac:dyDescent="0.3">
      <c r="A54" t="s">
        <v>194</v>
      </c>
      <c r="B54" t="s">
        <v>195</v>
      </c>
      <c r="C54">
        <v>9521259600</v>
      </c>
      <c r="D54" t="s">
        <v>196</v>
      </c>
      <c r="E54" t="s">
        <v>54</v>
      </c>
      <c r="F54" t="s">
        <v>47</v>
      </c>
      <c r="G54" t="s">
        <v>93</v>
      </c>
      <c r="H54" s="1">
        <v>46144</v>
      </c>
      <c r="I54" s="1" t="str">
        <f>TEXT(Lead_Data[[#This Row],[Lead_Date]],"mmmm")</f>
        <v>May</v>
      </c>
      <c r="J54">
        <f ca="1">TODAY()-Lead_Data[[#This Row],[Lead_Date]]</f>
        <v>58</v>
      </c>
      <c r="K54" t="s">
        <v>31</v>
      </c>
      <c r="L54">
        <v>142313</v>
      </c>
      <c r="M54" t="str">
        <f>IF(Lead_Data[[#This Row],[Potential_Value]]&gt;100000,"High","Low")</f>
        <v>High</v>
      </c>
      <c r="N54" t="s">
        <v>36</v>
      </c>
    </row>
    <row r="55" spans="1:14" x14ac:dyDescent="0.3">
      <c r="A55" t="s">
        <v>197</v>
      </c>
      <c r="B55" t="s">
        <v>168</v>
      </c>
      <c r="C55">
        <v>9829309252</v>
      </c>
      <c r="D55" t="s">
        <v>198</v>
      </c>
      <c r="E55" t="s">
        <v>28</v>
      </c>
      <c r="F55" t="s">
        <v>23</v>
      </c>
      <c r="G55" t="s">
        <v>48</v>
      </c>
      <c r="H55" s="1">
        <v>46125</v>
      </c>
      <c r="I55" s="1" t="str">
        <f>TEXT(Lead_Data[[#This Row],[Lead_Date]],"mmmm")</f>
        <v>April</v>
      </c>
      <c r="J55">
        <f ca="1">TODAY()-Lead_Data[[#This Row],[Lead_Date]]</f>
        <v>77</v>
      </c>
      <c r="K55" t="s">
        <v>17</v>
      </c>
      <c r="L55">
        <v>88550</v>
      </c>
      <c r="M55" t="str">
        <f>IF(Lead_Data[[#This Row],[Potential_Value]]&gt;100000,"High","Low")</f>
        <v>Low</v>
      </c>
      <c r="N55" t="s">
        <v>83</v>
      </c>
    </row>
    <row r="56" spans="1:14" x14ac:dyDescent="0.3">
      <c r="A56" t="s">
        <v>199</v>
      </c>
      <c r="B56" t="s">
        <v>171</v>
      </c>
      <c r="C56">
        <v>9330837589</v>
      </c>
      <c r="D56" t="s">
        <v>200</v>
      </c>
      <c r="E56" t="s">
        <v>28</v>
      </c>
      <c r="F56" t="s">
        <v>29</v>
      </c>
      <c r="G56" t="s">
        <v>61</v>
      </c>
      <c r="H56" s="1">
        <v>46191</v>
      </c>
      <c r="I56" s="1" t="str">
        <f>TEXT(Lead_Data[[#This Row],[Lead_Date]],"mmmm")</f>
        <v>June</v>
      </c>
      <c r="J56">
        <f ca="1">TODAY()-Lead_Data[[#This Row],[Lead_Date]]</f>
        <v>11</v>
      </c>
      <c r="K56" t="s">
        <v>35</v>
      </c>
      <c r="L56">
        <v>139549</v>
      </c>
      <c r="M56" t="str">
        <f>IF(Lead_Data[[#This Row],[Potential_Value]]&gt;100000,"High","Low")</f>
        <v>High</v>
      </c>
      <c r="N56" t="s">
        <v>50</v>
      </c>
    </row>
    <row r="57" spans="1:14" x14ac:dyDescent="0.3">
      <c r="A57" t="s">
        <v>201</v>
      </c>
      <c r="B57" t="s">
        <v>70</v>
      </c>
      <c r="C57">
        <v>9715877134</v>
      </c>
      <c r="D57" t="s">
        <v>202</v>
      </c>
      <c r="E57" t="s">
        <v>76</v>
      </c>
      <c r="F57" t="s">
        <v>41</v>
      </c>
      <c r="G57" t="s">
        <v>16</v>
      </c>
      <c r="H57" s="1">
        <v>46154</v>
      </c>
      <c r="I57" s="1" t="str">
        <f>TEXT(Lead_Data[[#This Row],[Lead_Date]],"mmmm")</f>
        <v>May</v>
      </c>
      <c r="J57">
        <f ca="1">TODAY()-Lead_Data[[#This Row],[Lead_Date]]</f>
        <v>48</v>
      </c>
      <c r="K57" t="s">
        <v>31</v>
      </c>
      <c r="L57">
        <v>248521</v>
      </c>
      <c r="M57" t="str">
        <f>IF(Lead_Data[[#This Row],[Potential_Value]]&gt;100000,"High","Low")</f>
        <v>High</v>
      </c>
      <c r="N57" t="s">
        <v>18</v>
      </c>
    </row>
    <row r="58" spans="1:14" x14ac:dyDescent="0.3">
      <c r="A58" t="s">
        <v>203</v>
      </c>
      <c r="B58" t="s">
        <v>146</v>
      </c>
      <c r="C58">
        <v>9888391409</v>
      </c>
      <c r="D58" t="s">
        <v>204</v>
      </c>
      <c r="E58" t="s">
        <v>22</v>
      </c>
      <c r="F58" t="s">
        <v>23</v>
      </c>
      <c r="G58" t="s">
        <v>30</v>
      </c>
      <c r="H58" s="1">
        <v>46197</v>
      </c>
      <c r="I58" s="1" t="str">
        <f>TEXT(Lead_Data[[#This Row],[Lead_Date]],"mmmm")</f>
        <v>June</v>
      </c>
      <c r="J58">
        <f ca="1">TODAY()-Lead_Data[[#This Row],[Lead_Date]]</f>
        <v>5</v>
      </c>
      <c r="K58" t="s">
        <v>17</v>
      </c>
      <c r="L58">
        <v>44889</v>
      </c>
      <c r="M58" t="str">
        <f>IF(Lead_Data[[#This Row],[Potential_Value]]&gt;100000,"High","Low")</f>
        <v>Low</v>
      </c>
      <c r="N58" t="s">
        <v>83</v>
      </c>
    </row>
    <row r="59" spans="1:14" x14ac:dyDescent="0.3">
      <c r="A59" t="s">
        <v>205</v>
      </c>
      <c r="B59" t="s">
        <v>206</v>
      </c>
      <c r="C59">
        <v>9584964258</v>
      </c>
      <c r="D59" t="s">
        <v>207</v>
      </c>
      <c r="E59" t="s">
        <v>208</v>
      </c>
      <c r="F59" t="s">
        <v>41</v>
      </c>
      <c r="G59" t="s">
        <v>16</v>
      </c>
      <c r="H59" s="1">
        <v>46035</v>
      </c>
      <c r="I59" s="1" t="str">
        <f>TEXT(Lead_Data[[#This Row],[Lead_Date]],"mmmm")</f>
        <v>January</v>
      </c>
      <c r="J59">
        <f ca="1">TODAY()-Lead_Data[[#This Row],[Lead_Date]]</f>
        <v>167</v>
      </c>
      <c r="K59" t="s">
        <v>35</v>
      </c>
      <c r="L59">
        <v>74109</v>
      </c>
      <c r="M59" t="str">
        <f>IF(Lead_Data[[#This Row],[Potential_Value]]&gt;100000,"High","Low")</f>
        <v>Low</v>
      </c>
      <c r="N59" t="s">
        <v>55</v>
      </c>
    </row>
    <row r="60" spans="1:14" x14ac:dyDescent="0.3">
      <c r="A60" t="s">
        <v>209</v>
      </c>
      <c r="B60" t="s">
        <v>210</v>
      </c>
      <c r="C60">
        <v>9877507631</v>
      </c>
      <c r="D60" t="s">
        <v>211</v>
      </c>
      <c r="E60" t="s">
        <v>14</v>
      </c>
      <c r="F60" t="s">
        <v>41</v>
      </c>
      <c r="G60" t="s">
        <v>16</v>
      </c>
      <c r="H60" s="1">
        <v>46160</v>
      </c>
      <c r="I60" s="1" t="str">
        <f>TEXT(Lead_Data[[#This Row],[Lead_Date]],"mmmm")</f>
        <v>May</v>
      </c>
      <c r="J60">
        <f ca="1">TODAY()-Lead_Data[[#This Row],[Lead_Date]]</f>
        <v>42</v>
      </c>
      <c r="K60" t="s">
        <v>17</v>
      </c>
      <c r="L60">
        <v>205488</v>
      </c>
      <c r="M60" t="str">
        <f>IF(Lead_Data[[#This Row],[Potential_Value]]&gt;100000,"High","Low")</f>
        <v>High</v>
      </c>
      <c r="N60" t="s">
        <v>55</v>
      </c>
    </row>
    <row r="61" spans="1:14" x14ac:dyDescent="0.3">
      <c r="A61" t="s">
        <v>212</v>
      </c>
      <c r="B61" t="s">
        <v>213</v>
      </c>
      <c r="C61">
        <v>9641512392</v>
      </c>
      <c r="D61" t="s">
        <v>214</v>
      </c>
      <c r="E61" t="s">
        <v>22</v>
      </c>
      <c r="F61" t="s">
        <v>41</v>
      </c>
      <c r="G61" t="s">
        <v>48</v>
      </c>
      <c r="H61" s="1">
        <v>46075</v>
      </c>
      <c r="I61" s="1" t="str">
        <f>TEXT(Lead_Data[[#This Row],[Lead_Date]],"mmmm")</f>
        <v>February</v>
      </c>
      <c r="J61">
        <f ca="1">TODAY()-Lead_Data[[#This Row],[Lead_Date]]</f>
        <v>127</v>
      </c>
      <c r="K61" t="s">
        <v>24</v>
      </c>
      <c r="L61">
        <v>231650</v>
      </c>
      <c r="M61" t="str">
        <f>IF(Lead_Data[[#This Row],[Potential_Value]]&gt;100000,"High","Low")</f>
        <v>High</v>
      </c>
      <c r="N61" t="s">
        <v>55</v>
      </c>
    </row>
    <row r="62" spans="1:14" x14ac:dyDescent="0.3">
      <c r="A62" t="s">
        <v>215</v>
      </c>
      <c r="B62" t="s">
        <v>216</v>
      </c>
      <c r="C62">
        <v>9616274341</v>
      </c>
      <c r="D62" t="s">
        <v>217</v>
      </c>
      <c r="E62" t="s">
        <v>22</v>
      </c>
      <c r="F62" t="s">
        <v>23</v>
      </c>
      <c r="G62" t="s">
        <v>16</v>
      </c>
      <c r="H62" s="1">
        <v>46180</v>
      </c>
      <c r="I62" s="1" t="str">
        <f>TEXT(Lead_Data[[#This Row],[Lead_Date]],"mmmm")</f>
        <v>June</v>
      </c>
      <c r="J62">
        <f ca="1">TODAY()-Lead_Data[[#This Row],[Lead_Date]]</f>
        <v>22</v>
      </c>
      <c r="K62" t="s">
        <v>31</v>
      </c>
      <c r="L62">
        <v>96972</v>
      </c>
      <c r="M62" t="str">
        <f>IF(Lead_Data[[#This Row],[Potential_Value]]&gt;100000,"High","Low")</f>
        <v>Low</v>
      </c>
      <c r="N62" t="s">
        <v>83</v>
      </c>
    </row>
    <row r="63" spans="1:14" x14ac:dyDescent="0.3">
      <c r="A63" t="s">
        <v>218</v>
      </c>
      <c r="B63" t="s">
        <v>57</v>
      </c>
      <c r="C63">
        <v>9711673589</v>
      </c>
      <c r="D63" t="s">
        <v>219</v>
      </c>
      <c r="E63" t="s">
        <v>208</v>
      </c>
      <c r="F63" t="s">
        <v>29</v>
      </c>
      <c r="G63" t="s">
        <v>61</v>
      </c>
      <c r="H63" s="1">
        <v>46146</v>
      </c>
      <c r="I63" s="1" t="str">
        <f>TEXT(Lead_Data[[#This Row],[Lead_Date]],"mmmm")</f>
        <v>May</v>
      </c>
      <c r="J63">
        <f ca="1">TODAY()-Lead_Data[[#This Row],[Lead_Date]]</f>
        <v>56</v>
      </c>
      <c r="K63" t="s">
        <v>35</v>
      </c>
      <c r="L63">
        <v>36088</v>
      </c>
      <c r="M63" t="str">
        <f>IF(Lead_Data[[#This Row],[Potential_Value]]&gt;100000,"High","Low")</f>
        <v>Low</v>
      </c>
      <c r="N63" t="s">
        <v>50</v>
      </c>
    </row>
    <row r="64" spans="1:14" x14ac:dyDescent="0.3">
      <c r="A64" t="s">
        <v>220</v>
      </c>
      <c r="B64" t="s">
        <v>221</v>
      </c>
      <c r="C64">
        <v>9348325005</v>
      </c>
      <c r="D64" t="s">
        <v>222</v>
      </c>
      <c r="E64" t="s">
        <v>46</v>
      </c>
      <c r="F64" t="s">
        <v>29</v>
      </c>
      <c r="G64" t="s">
        <v>30</v>
      </c>
      <c r="H64" s="1">
        <v>46141</v>
      </c>
      <c r="I64" s="1" t="str">
        <f>TEXT(Lead_Data[[#This Row],[Lead_Date]],"mmmm")</f>
        <v>April</v>
      </c>
      <c r="J64">
        <f ca="1">TODAY()-Lead_Data[[#This Row],[Lead_Date]]</f>
        <v>61</v>
      </c>
      <c r="K64" t="s">
        <v>42</v>
      </c>
      <c r="L64">
        <v>62232</v>
      </c>
      <c r="M64" t="str">
        <f>IF(Lead_Data[[#This Row],[Potential_Value]]&gt;100000,"High","Low")</f>
        <v>Low</v>
      </c>
      <c r="N64" t="s">
        <v>83</v>
      </c>
    </row>
    <row r="65" spans="1:14" x14ac:dyDescent="0.3">
      <c r="A65" t="s">
        <v>223</v>
      </c>
      <c r="B65" t="s">
        <v>224</v>
      </c>
      <c r="C65">
        <v>9848867961</v>
      </c>
      <c r="D65" t="s">
        <v>225</v>
      </c>
      <c r="E65" t="s">
        <v>14</v>
      </c>
      <c r="F65" t="s">
        <v>60</v>
      </c>
      <c r="G65" t="s">
        <v>16</v>
      </c>
      <c r="H65" s="1">
        <v>46140</v>
      </c>
      <c r="I65" s="1" t="str">
        <f>TEXT(Lead_Data[[#This Row],[Lead_Date]],"mmmm")</f>
        <v>April</v>
      </c>
      <c r="J65">
        <f ca="1">TODAY()-Lead_Data[[#This Row],[Lead_Date]]</f>
        <v>62</v>
      </c>
      <c r="K65" t="s">
        <v>24</v>
      </c>
      <c r="L65">
        <v>80426</v>
      </c>
      <c r="M65" t="str">
        <f>IF(Lead_Data[[#This Row],[Potential_Value]]&gt;100000,"High","Low")</f>
        <v>Low</v>
      </c>
      <c r="N65" t="s">
        <v>55</v>
      </c>
    </row>
    <row r="66" spans="1:14" x14ac:dyDescent="0.3">
      <c r="A66" t="s">
        <v>226</v>
      </c>
      <c r="B66" t="s">
        <v>227</v>
      </c>
      <c r="C66">
        <v>9720014369</v>
      </c>
      <c r="D66" t="s">
        <v>228</v>
      </c>
      <c r="E66" t="s">
        <v>14</v>
      </c>
      <c r="F66" t="s">
        <v>72</v>
      </c>
      <c r="G66" t="s">
        <v>16</v>
      </c>
      <c r="H66" s="1">
        <v>46171</v>
      </c>
      <c r="I66" s="1" t="str">
        <f>TEXT(Lead_Data[[#This Row],[Lead_Date]],"mmmm")</f>
        <v>May</v>
      </c>
      <c r="J66">
        <f ca="1">TODAY()-Lead_Data[[#This Row],[Lead_Date]]</f>
        <v>31</v>
      </c>
      <c r="K66" t="s">
        <v>49</v>
      </c>
      <c r="L66">
        <v>104254</v>
      </c>
      <c r="M66" t="str">
        <f>IF(Lead_Data[[#This Row],[Potential_Value]]&gt;100000,"High","Low")</f>
        <v>High</v>
      </c>
      <c r="N66" t="s">
        <v>50</v>
      </c>
    </row>
    <row r="67" spans="1:14" x14ac:dyDescent="0.3">
      <c r="A67" t="s">
        <v>229</v>
      </c>
      <c r="B67" t="s">
        <v>230</v>
      </c>
      <c r="C67">
        <v>9347522967</v>
      </c>
      <c r="D67" t="s">
        <v>231</v>
      </c>
      <c r="E67" t="s">
        <v>65</v>
      </c>
      <c r="F67" t="s">
        <v>72</v>
      </c>
      <c r="G67" t="s">
        <v>48</v>
      </c>
      <c r="H67" s="1">
        <v>46051</v>
      </c>
      <c r="I67" s="1" t="str">
        <f>TEXT(Lead_Data[[#This Row],[Lead_Date]],"mmmm")</f>
        <v>January</v>
      </c>
      <c r="J67">
        <f ca="1">TODAY()-Lead_Data[[#This Row],[Lead_Date]]</f>
        <v>151</v>
      </c>
      <c r="K67" t="s">
        <v>24</v>
      </c>
      <c r="L67">
        <v>113305</v>
      </c>
      <c r="M67" t="str">
        <f>IF(Lead_Data[[#This Row],[Potential_Value]]&gt;100000,"High","Low")</f>
        <v>High</v>
      </c>
      <c r="N67" t="s">
        <v>36</v>
      </c>
    </row>
    <row r="68" spans="1:14" x14ac:dyDescent="0.3">
      <c r="A68" t="s">
        <v>232</v>
      </c>
      <c r="B68" t="s">
        <v>195</v>
      </c>
      <c r="C68">
        <v>9570500023</v>
      </c>
      <c r="D68" t="s">
        <v>233</v>
      </c>
      <c r="E68" t="s">
        <v>54</v>
      </c>
      <c r="F68" t="s">
        <v>41</v>
      </c>
      <c r="G68" t="s">
        <v>93</v>
      </c>
      <c r="H68" s="1">
        <v>46126</v>
      </c>
      <c r="I68" s="1" t="str">
        <f>TEXT(Lead_Data[[#This Row],[Lead_Date]],"mmmm")</f>
        <v>April</v>
      </c>
      <c r="J68">
        <f ca="1">TODAY()-Lead_Data[[#This Row],[Lead_Date]]</f>
        <v>76</v>
      </c>
      <c r="K68" t="s">
        <v>24</v>
      </c>
      <c r="L68">
        <v>100167</v>
      </c>
      <c r="M68" t="str">
        <f>IF(Lead_Data[[#This Row],[Potential_Value]]&gt;100000,"High","Low")</f>
        <v>High</v>
      </c>
      <c r="N68" t="s">
        <v>55</v>
      </c>
    </row>
    <row r="69" spans="1:14" x14ac:dyDescent="0.3">
      <c r="A69" t="s">
        <v>234</v>
      </c>
      <c r="B69" t="s">
        <v>235</v>
      </c>
      <c r="C69">
        <v>9610233724</v>
      </c>
      <c r="D69" t="s">
        <v>236</v>
      </c>
      <c r="E69" t="s">
        <v>65</v>
      </c>
      <c r="F69" t="s">
        <v>60</v>
      </c>
      <c r="G69" t="s">
        <v>48</v>
      </c>
      <c r="H69" s="1">
        <v>46106</v>
      </c>
      <c r="I69" s="1" t="str">
        <f>TEXT(Lead_Data[[#This Row],[Lead_Date]],"mmmm")</f>
        <v>March</v>
      </c>
      <c r="J69">
        <f ca="1">TODAY()-Lead_Data[[#This Row],[Lead_Date]]</f>
        <v>96</v>
      </c>
      <c r="K69" t="s">
        <v>17</v>
      </c>
      <c r="L69">
        <v>61312</v>
      </c>
      <c r="M69" t="str">
        <f>IF(Lead_Data[[#This Row],[Potential_Value]]&gt;100000,"High","Low")</f>
        <v>Low</v>
      </c>
      <c r="N69" t="s">
        <v>36</v>
      </c>
    </row>
    <row r="70" spans="1:14" x14ac:dyDescent="0.3">
      <c r="A70" t="s">
        <v>237</v>
      </c>
      <c r="B70" t="s">
        <v>238</v>
      </c>
      <c r="C70">
        <v>9862734062</v>
      </c>
      <c r="D70" t="s">
        <v>239</v>
      </c>
      <c r="E70" t="s">
        <v>28</v>
      </c>
      <c r="F70" t="s">
        <v>23</v>
      </c>
      <c r="G70" t="s">
        <v>61</v>
      </c>
      <c r="H70" s="1">
        <v>46122</v>
      </c>
      <c r="I70" s="1" t="str">
        <f>TEXT(Lead_Data[[#This Row],[Lead_Date]],"mmmm")</f>
        <v>April</v>
      </c>
      <c r="J70">
        <f ca="1">TODAY()-Lead_Data[[#This Row],[Lead_Date]]</f>
        <v>80</v>
      </c>
      <c r="K70" t="s">
        <v>24</v>
      </c>
      <c r="L70">
        <v>208090</v>
      </c>
      <c r="M70" t="str">
        <f>IF(Lead_Data[[#This Row],[Potential_Value]]&gt;100000,"High","Low")</f>
        <v>High</v>
      </c>
      <c r="N70" t="s">
        <v>83</v>
      </c>
    </row>
    <row r="71" spans="1:14" x14ac:dyDescent="0.3">
      <c r="A71" t="s">
        <v>240</v>
      </c>
      <c r="B71" t="s">
        <v>241</v>
      </c>
      <c r="C71">
        <v>9898849207</v>
      </c>
      <c r="D71" t="s">
        <v>242</v>
      </c>
      <c r="E71" t="s">
        <v>59</v>
      </c>
      <c r="F71" t="s">
        <v>72</v>
      </c>
      <c r="G71" t="s">
        <v>61</v>
      </c>
      <c r="H71" s="1">
        <v>46096</v>
      </c>
      <c r="I71" s="1" t="str">
        <f>TEXT(Lead_Data[[#This Row],[Lead_Date]],"mmmm")</f>
        <v>March</v>
      </c>
      <c r="J71">
        <f ca="1">TODAY()-Lead_Data[[#This Row],[Lead_Date]]</f>
        <v>106</v>
      </c>
      <c r="K71" t="s">
        <v>24</v>
      </c>
      <c r="L71">
        <v>143945</v>
      </c>
      <c r="M71" t="str">
        <f>IF(Lead_Data[[#This Row],[Potential_Value]]&gt;100000,"High","Low")</f>
        <v>High</v>
      </c>
      <c r="N71" t="s">
        <v>83</v>
      </c>
    </row>
    <row r="72" spans="1:14" x14ac:dyDescent="0.3">
      <c r="A72" t="s">
        <v>243</v>
      </c>
      <c r="B72" t="s">
        <v>74</v>
      </c>
      <c r="C72">
        <v>9513893832</v>
      </c>
      <c r="D72" t="s">
        <v>244</v>
      </c>
      <c r="E72" t="s">
        <v>76</v>
      </c>
      <c r="F72" t="s">
        <v>47</v>
      </c>
      <c r="G72" t="s">
        <v>16</v>
      </c>
      <c r="H72" s="1">
        <v>46184</v>
      </c>
      <c r="I72" s="1" t="str">
        <f>TEXT(Lead_Data[[#This Row],[Lead_Date]],"mmmm")</f>
        <v>June</v>
      </c>
      <c r="J72">
        <f ca="1">TODAY()-Lead_Data[[#This Row],[Lead_Date]]</f>
        <v>18</v>
      </c>
      <c r="K72" t="s">
        <v>31</v>
      </c>
      <c r="L72">
        <v>198631</v>
      </c>
      <c r="M72" t="str">
        <f>IF(Lead_Data[[#This Row],[Potential_Value]]&gt;100000,"High","Low")</f>
        <v>High</v>
      </c>
      <c r="N72" t="s">
        <v>36</v>
      </c>
    </row>
    <row r="73" spans="1:14" x14ac:dyDescent="0.3">
      <c r="A73" t="s">
        <v>245</v>
      </c>
      <c r="B73" t="s">
        <v>246</v>
      </c>
      <c r="C73">
        <v>9570513461</v>
      </c>
      <c r="D73" t="s">
        <v>247</v>
      </c>
      <c r="E73" t="s">
        <v>59</v>
      </c>
      <c r="F73" t="s">
        <v>41</v>
      </c>
      <c r="G73" t="s">
        <v>61</v>
      </c>
      <c r="H73" s="1">
        <v>46180</v>
      </c>
      <c r="I73" s="1" t="str">
        <f>TEXT(Lead_Data[[#This Row],[Lead_Date]],"mmmm")</f>
        <v>June</v>
      </c>
      <c r="J73">
        <f ca="1">TODAY()-Lead_Data[[#This Row],[Lead_Date]]</f>
        <v>22</v>
      </c>
      <c r="K73" t="s">
        <v>24</v>
      </c>
      <c r="L73">
        <v>22839</v>
      </c>
      <c r="M73" t="str">
        <f>IF(Lead_Data[[#This Row],[Potential_Value]]&gt;100000,"High","Low")</f>
        <v>Low</v>
      </c>
      <c r="N73" t="s">
        <v>18</v>
      </c>
    </row>
    <row r="74" spans="1:14" x14ac:dyDescent="0.3">
      <c r="A74" t="s">
        <v>248</v>
      </c>
      <c r="B74" t="s">
        <v>249</v>
      </c>
      <c r="C74">
        <v>9556125647</v>
      </c>
      <c r="D74" t="s">
        <v>250</v>
      </c>
      <c r="E74" t="s">
        <v>54</v>
      </c>
      <c r="F74" t="s">
        <v>15</v>
      </c>
      <c r="G74" t="s">
        <v>61</v>
      </c>
      <c r="H74" s="1">
        <v>46095</v>
      </c>
      <c r="I74" s="1" t="str">
        <f>TEXT(Lead_Data[[#This Row],[Lead_Date]],"mmmm")</f>
        <v>March</v>
      </c>
      <c r="J74">
        <f ca="1">TODAY()-Lead_Data[[#This Row],[Lead_Date]]</f>
        <v>107</v>
      </c>
      <c r="K74" t="s">
        <v>24</v>
      </c>
      <c r="L74">
        <v>181965</v>
      </c>
      <c r="M74" t="str">
        <f>IF(Lead_Data[[#This Row],[Potential_Value]]&gt;100000,"High","Low")</f>
        <v>High</v>
      </c>
      <c r="N74" t="s">
        <v>50</v>
      </c>
    </row>
    <row r="75" spans="1:14" x14ac:dyDescent="0.3">
      <c r="A75" t="s">
        <v>251</v>
      </c>
      <c r="B75" t="s">
        <v>252</v>
      </c>
      <c r="C75">
        <v>9526071569</v>
      </c>
      <c r="D75" t="s">
        <v>253</v>
      </c>
      <c r="E75" t="s">
        <v>59</v>
      </c>
      <c r="F75" t="s">
        <v>23</v>
      </c>
      <c r="G75" t="s">
        <v>93</v>
      </c>
      <c r="H75" s="1">
        <v>46065</v>
      </c>
      <c r="I75" s="1" t="str">
        <f>TEXT(Lead_Data[[#This Row],[Lead_Date]],"mmmm")</f>
        <v>February</v>
      </c>
      <c r="J75">
        <f ca="1">TODAY()-Lead_Data[[#This Row],[Lead_Date]]</f>
        <v>137</v>
      </c>
      <c r="K75" t="s">
        <v>42</v>
      </c>
      <c r="L75">
        <v>247491</v>
      </c>
      <c r="M75" t="str">
        <f>IF(Lead_Data[[#This Row],[Potential_Value]]&gt;100000,"High","Low")</f>
        <v>High</v>
      </c>
      <c r="N75" t="s">
        <v>55</v>
      </c>
    </row>
    <row r="76" spans="1:14" x14ac:dyDescent="0.3">
      <c r="A76" t="s">
        <v>254</v>
      </c>
      <c r="B76" t="s">
        <v>255</v>
      </c>
      <c r="C76">
        <v>9670392668</v>
      </c>
      <c r="D76" t="s">
        <v>256</v>
      </c>
      <c r="E76" t="s">
        <v>59</v>
      </c>
      <c r="F76" t="s">
        <v>47</v>
      </c>
      <c r="G76" t="s">
        <v>93</v>
      </c>
      <c r="H76" s="1">
        <v>46132</v>
      </c>
      <c r="I76" s="1" t="str">
        <f>TEXT(Lead_Data[[#This Row],[Lead_Date]],"mmmm")</f>
        <v>April</v>
      </c>
      <c r="J76">
        <f ca="1">TODAY()-Lead_Data[[#This Row],[Lead_Date]]</f>
        <v>70</v>
      </c>
      <c r="K76" t="s">
        <v>31</v>
      </c>
      <c r="L76">
        <v>33780</v>
      </c>
      <c r="M76" t="str">
        <f>IF(Lead_Data[[#This Row],[Potential_Value]]&gt;100000,"High","Low")</f>
        <v>Low</v>
      </c>
      <c r="N76" t="s">
        <v>50</v>
      </c>
    </row>
    <row r="77" spans="1:14" x14ac:dyDescent="0.3">
      <c r="A77" t="s">
        <v>257</v>
      </c>
      <c r="B77" t="s">
        <v>258</v>
      </c>
      <c r="C77">
        <v>9642095026</v>
      </c>
      <c r="D77" t="s">
        <v>259</v>
      </c>
      <c r="E77" t="s">
        <v>54</v>
      </c>
      <c r="F77" t="s">
        <v>60</v>
      </c>
      <c r="G77" t="s">
        <v>16</v>
      </c>
      <c r="H77" s="1">
        <v>46117</v>
      </c>
      <c r="I77" s="1" t="str">
        <f>TEXT(Lead_Data[[#This Row],[Lead_Date]],"mmmm")</f>
        <v>April</v>
      </c>
      <c r="J77">
        <f ca="1">TODAY()-Lead_Data[[#This Row],[Lead_Date]]</f>
        <v>85</v>
      </c>
      <c r="K77" t="s">
        <v>31</v>
      </c>
      <c r="L77">
        <v>242587</v>
      </c>
      <c r="M77" t="str">
        <f>IF(Lead_Data[[#This Row],[Potential_Value]]&gt;100000,"High","Low")</f>
        <v>High</v>
      </c>
      <c r="N77" t="s">
        <v>36</v>
      </c>
    </row>
    <row r="78" spans="1:14" x14ac:dyDescent="0.3">
      <c r="A78" t="s">
        <v>260</v>
      </c>
      <c r="B78" t="s">
        <v>261</v>
      </c>
      <c r="C78">
        <v>9338186385</v>
      </c>
      <c r="D78" t="s">
        <v>262</v>
      </c>
      <c r="E78" t="s">
        <v>54</v>
      </c>
      <c r="F78" t="s">
        <v>15</v>
      </c>
      <c r="G78" t="s">
        <v>30</v>
      </c>
      <c r="H78" s="1">
        <v>46119</v>
      </c>
      <c r="I78" s="1" t="str">
        <f>TEXT(Lead_Data[[#This Row],[Lead_Date]],"mmmm")</f>
        <v>April</v>
      </c>
      <c r="J78">
        <f ca="1">TODAY()-Lead_Data[[#This Row],[Lead_Date]]</f>
        <v>83</v>
      </c>
      <c r="K78" t="s">
        <v>24</v>
      </c>
      <c r="L78">
        <v>82749</v>
      </c>
      <c r="M78" t="str">
        <f>IF(Lead_Data[[#This Row],[Potential_Value]]&gt;100000,"High","Low")</f>
        <v>Low</v>
      </c>
      <c r="N78" t="s">
        <v>18</v>
      </c>
    </row>
    <row r="79" spans="1:14" x14ac:dyDescent="0.3">
      <c r="A79" t="s">
        <v>263</v>
      </c>
      <c r="B79" t="s">
        <v>264</v>
      </c>
      <c r="C79">
        <v>9381031470</v>
      </c>
      <c r="D79" t="s">
        <v>265</v>
      </c>
      <c r="E79" t="s">
        <v>22</v>
      </c>
      <c r="F79" t="s">
        <v>23</v>
      </c>
      <c r="G79" t="s">
        <v>61</v>
      </c>
      <c r="H79" s="1">
        <v>46184</v>
      </c>
      <c r="I79" s="1" t="str">
        <f>TEXT(Lead_Data[[#This Row],[Lead_Date]],"mmmm")</f>
        <v>June</v>
      </c>
      <c r="J79">
        <f ca="1">TODAY()-Lead_Data[[#This Row],[Lead_Date]]</f>
        <v>18</v>
      </c>
      <c r="K79" t="s">
        <v>31</v>
      </c>
      <c r="L79">
        <v>110810</v>
      </c>
      <c r="M79" t="str">
        <f>IF(Lead_Data[[#This Row],[Potential_Value]]&gt;100000,"High","Low")</f>
        <v>High</v>
      </c>
      <c r="N79" t="s">
        <v>55</v>
      </c>
    </row>
    <row r="80" spans="1:14" x14ac:dyDescent="0.3">
      <c r="A80" t="s">
        <v>266</v>
      </c>
      <c r="B80" t="s">
        <v>267</v>
      </c>
      <c r="C80">
        <v>9612927357</v>
      </c>
      <c r="D80" t="s">
        <v>268</v>
      </c>
      <c r="E80" t="s">
        <v>208</v>
      </c>
      <c r="F80" t="s">
        <v>29</v>
      </c>
      <c r="G80" t="s">
        <v>48</v>
      </c>
      <c r="H80" s="1">
        <v>46055</v>
      </c>
      <c r="I80" s="1" t="str">
        <f>TEXT(Lead_Data[[#This Row],[Lead_Date]],"mmmm")</f>
        <v>February</v>
      </c>
      <c r="J80">
        <f ca="1">TODAY()-Lead_Data[[#This Row],[Lead_Date]]</f>
        <v>147</v>
      </c>
      <c r="K80" t="s">
        <v>42</v>
      </c>
      <c r="L80">
        <v>138404</v>
      </c>
      <c r="M80" t="str">
        <f>IF(Lead_Data[[#This Row],[Potential_Value]]&gt;100000,"High","Low")</f>
        <v>High</v>
      </c>
      <c r="N80" t="s">
        <v>36</v>
      </c>
    </row>
    <row r="81" spans="1:14" x14ac:dyDescent="0.3">
      <c r="A81" t="s">
        <v>269</v>
      </c>
      <c r="B81" t="s">
        <v>270</v>
      </c>
      <c r="C81">
        <v>9372834219</v>
      </c>
      <c r="D81" t="s">
        <v>271</v>
      </c>
      <c r="E81" t="s">
        <v>22</v>
      </c>
      <c r="F81" t="s">
        <v>60</v>
      </c>
      <c r="G81" t="s">
        <v>30</v>
      </c>
      <c r="H81" s="1">
        <v>46137</v>
      </c>
      <c r="I81" s="1" t="str">
        <f>TEXT(Lead_Data[[#This Row],[Lead_Date]],"mmmm")</f>
        <v>April</v>
      </c>
      <c r="J81">
        <f ca="1">TODAY()-Lead_Data[[#This Row],[Lead_Date]]</f>
        <v>65</v>
      </c>
      <c r="K81" t="s">
        <v>31</v>
      </c>
      <c r="L81">
        <v>50469</v>
      </c>
      <c r="M81" t="str">
        <f>IF(Lead_Data[[#This Row],[Potential_Value]]&gt;100000,"High","Low")</f>
        <v>Low</v>
      </c>
      <c r="N81" t="s">
        <v>50</v>
      </c>
    </row>
    <row r="82" spans="1:14" x14ac:dyDescent="0.3">
      <c r="A82" t="s">
        <v>272</v>
      </c>
      <c r="B82" t="s">
        <v>189</v>
      </c>
      <c r="C82">
        <v>9521408960</v>
      </c>
      <c r="D82" t="s">
        <v>273</v>
      </c>
      <c r="E82" t="s">
        <v>208</v>
      </c>
      <c r="F82" t="s">
        <v>23</v>
      </c>
      <c r="G82" t="s">
        <v>93</v>
      </c>
      <c r="H82" s="1">
        <v>46164</v>
      </c>
      <c r="I82" s="1" t="str">
        <f>TEXT(Lead_Data[[#This Row],[Lead_Date]],"mmmm")</f>
        <v>May</v>
      </c>
      <c r="J82">
        <f ca="1">TODAY()-Lead_Data[[#This Row],[Lead_Date]]</f>
        <v>38</v>
      </c>
      <c r="K82" t="s">
        <v>31</v>
      </c>
      <c r="L82">
        <v>159260</v>
      </c>
      <c r="M82" t="str">
        <f>IF(Lead_Data[[#This Row],[Potential_Value]]&gt;100000,"High","Low")</f>
        <v>High</v>
      </c>
      <c r="N82" t="s">
        <v>36</v>
      </c>
    </row>
    <row r="83" spans="1:14" x14ac:dyDescent="0.3">
      <c r="A83" t="s">
        <v>274</v>
      </c>
      <c r="B83" t="s">
        <v>275</v>
      </c>
      <c r="C83">
        <v>9680900936</v>
      </c>
      <c r="D83" t="s">
        <v>276</v>
      </c>
      <c r="E83" t="s">
        <v>76</v>
      </c>
      <c r="F83" t="s">
        <v>41</v>
      </c>
      <c r="G83" t="s">
        <v>30</v>
      </c>
      <c r="H83" s="1">
        <v>46185</v>
      </c>
      <c r="I83" s="1" t="str">
        <f>TEXT(Lead_Data[[#This Row],[Lead_Date]],"mmmm")</f>
        <v>June</v>
      </c>
      <c r="J83">
        <f ca="1">TODAY()-Lead_Data[[#This Row],[Lead_Date]]</f>
        <v>17</v>
      </c>
      <c r="K83" t="s">
        <v>17</v>
      </c>
      <c r="L83">
        <v>28442</v>
      </c>
      <c r="M83" t="str">
        <f>IF(Lead_Data[[#This Row],[Potential_Value]]&gt;100000,"High","Low")</f>
        <v>Low</v>
      </c>
      <c r="N83" t="s">
        <v>83</v>
      </c>
    </row>
    <row r="84" spans="1:14" x14ac:dyDescent="0.3">
      <c r="A84" t="s">
        <v>277</v>
      </c>
      <c r="B84" t="s">
        <v>146</v>
      </c>
      <c r="C84">
        <v>9545014973</v>
      </c>
      <c r="D84" t="s">
        <v>278</v>
      </c>
      <c r="E84" t="s">
        <v>28</v>
      </c>
      <c r="F84" t="s">
        <v>23</v>
      </c>
      <c r="G84" t="s">
        <v>30</v>
      </c>
      <c r="H84" s="1">
        <v>46080</v>
      </c>
      <c r="I84" s="1" t="str">
        <f>TEXT(Lead_Data[[#This Row],[Lead_Date]],"mmmm")</f>
        <v>February</v>
      </c>
      <c r="J84">
        <f ca="1">TODAY()-Lead_Data[[#This Row],[Lead_Date]]</f>
        <v>122</v>
      </c>
      <c r="K84" t="s">
        <v>42</v>
      </c>
      <c r="L84">
        <v>89041</v>
      </c>
      <c r="M84" t="str">
        <f>IF(Lead_Data[[#This Row],[Potential_Value]]&gt;100000,"High","Low")</f>
        <v>Low</v>
      </c>
      <c r="N84" t="s">
        <v>55</v>
      </c>
    </row>
    <row r="85" spans="1:14" x14ac:dyDescent="0.3">
      <c r="A85" t="s">
        <v>279</v>
      </c>
      <c r="B85" t="s">
        <v>280</v>
      </c>
      <c r="C85">
        <v>9773794252</v>
      </c>
      <c r="D85" t="s">
        <v>281</v>
      </c>
      <c r="E85" t="s">
        <v>22</v>
      </c>
      <c r="F85" t="s">
        <v>47</v>
      </c>
      <c r="G85" t="s">
        <v>93</v>
      </c>
      <c r="H85" s="1">
        <v>46157</v>
      </c>
      <c r="I85" s="1" t="str">
        <f>TEXT(Lead_Data[[#This Row],[Lead_Date]],"mmmm")</f>
        <v>May</v>
      </c>
      <c r="J85">
        <f ca="1">TODAY()-Lead_Data[[#This Row],[Lead_Date]]</f>
        <v>45</v>
      </c>
      <c r="K85" t="s">
        <v>17</v>
      </c>
      <c r="L85">
        <v>117953</v>
      </c>
      <c r="M85" t="str">
        <f>IF(Lead_Data[[#This Row],[Potential_Value]]&gt;100000,"High","Low")</f>
        <v>High</v>
      </c>
      <c r="N85" t="s">
        <v>83</v>
      </c>
    </row>
    <row r="86" spans="1:14" x14ac:dyDescent="0.3">
      <c r="A86" t="s">
        <v>282</v>
      </c>
      <c r="B86" t="s">
        <v>283</v>
      </c>
      <c r="C86">
        <v>9596861466</v>
      </c>
      <c r="D86" t="s">
        <v>284</v>
      </c>
      <c r="E86" t="s">
        <v>14</v>
      </c>
      <c r="F86" t="s">
        <v>15</v>
      </c>
      <c r="G86" t="s">
        <v>93</v>
      </c>
      <c r="H86" s="1">
        <v>46130</v>
      </c>
      <c r="I86" s="1" t="str">
        <f>TEXT(Lead_Data[[#This Row],[Lead_Date]],"mmmm")</f>
        <v>April</v>
      </c>
      <c r="J86">
        <f ca="1">TODAY()-Lead_Data[[#This Row],[Lead_Date]]</f>
        <v>72</v>
      </c>
      <c r="K86" t="s">
        <v>35</v>
      </c>
      <c r="L86">
        <v>121233</v>
      </c>
      <c r="M86" t="str">
        <f>IF(Lead_Data[[#This Row],[Potential_Value]]&gt;100000,"High","Low")</f>
        <v>High</v>
      </c>
      <c r="N86" t="s">
        <v>83</v>
      </c>
    </row>
    <row r="87" spans="1:14" x14ac:dyDescent="0.3">
      <c r="A87" t="s">
        <v>285</v>
      </c>
      <c r="B87" t="s">
        <v>286</v>
      </c>
      <c r="C87">
        <v>9666446184</v>
      </c>
      <c r="D87" t="s">
        <v>287</v>
      </c>
      <c r="E87" t="s">
        <v>76</v>
      </c>
      <c r="F87" t="s">
        <v>72</v>
      </c>
      <c r="G87" t="s">
        <v>30</v>
      </c>
      <c r="H87" s="1">
        <v>46115</v>
      </c>
      <c r="I87" s="1" t="str">
        <f>TEXT(Lead_Data[[#This Row],[Lead_Date]],"mmmm")</f>
        <v>April</v>
      </c>
      <c r="J87">
        <f ca="1">TODAY()-Lead_Data[[#This Row],[Lead_Date]]</f>
        <v>87</v>
      </c>
      <c r="K87" t="s">
        <v>49</v>
      </c>
      <c r="L87">
        <v>203758</v>
      </c>
      <c r="M87" t="str">
        <f>IF(Lead_Data[[#This Row],[Potential_Value]]&gt;100000,"High","Low")</f>
        <v>High</v>
      </c>
      <c r="N87" t="s">
        <v>18</v>
      </c>
    </row>
    <row r="88" spans="1:14" x14ac:dyDescent="0.3">
      <c r="A88" t="s">
        <v>288</v>
      </c>
      <c r="B88" t="s">
        <v>289</v>
      </c>
      <c r="C88">
        <v>9751837778</v>
      </c>
      <c r="D88" t="s">
        <v>290</v>
      </c>
      <c r="E88" t="s">
        <v>22</v>
      </c>
      <c r="F88" t="s">
        <v>29</v>
      </c>
      <c r="G88" t="s">
        <v>93</v>
      </c>
      <c r="H88" s="1">
        <v>46072</v>
      </c>
      <c r="I88" s="1" t="str">
        <f>TEXT(Lead_Data[[#This Row],[Lead_Date]],"mmmm")</f>
        <v>February</v>
      </c>
      <c r="J88">
        <f ca="1">TODAY()-Lead_Data[[#This Row],[Lead_Date]]</f>
        <v>130</v>
      </c>
      <c r="K88" t="s">
        <v>49</v>
      </c>
      <c r="L88">
        <v>209352</v>
      </c>
      <c r="M88" t="str">
        <f>IF(Lead_Data[[#This Row],[Potential_Value]]&gt;100000,"High","Low")</f>
        <v>High</v>
      </c>
      <c r="N88" t="s">
        <v>83</v>
      </c>
    </row>
    <row r="89" spans="1:14" x14ac:dyDescent="0.3">
      <c r="A89" t="s">
        <v>291</v>
      </c>
      <c r="B89" t="s">
        <v>292</v>
      </c>
      <c r="C89">
        <v>9335140753</v>
      </c>
      <c r="D89" t="s">
        <v>293</v>
      </c>
      <c r="E89" t="s">
        <v>46</v>
      </c>
      <c r="F89" t="s">
        <v>29</v>
      </c>
      <c r="G89" t="s">
        <v>30</v>
      </c>
      <c r="H89" s="1">
        <v>46080</v>
      </c>
      <c r="I89" s="1" t="str">
        <f>TEXT(Lead_Data[[#This Row],[Lead_Date]],"mmmm")</f>
        <v>February</v>
      </c>
      <c r="J89">
        <f ca="1">TODAY()-Lead_Data[[#This Row],[Lead_Date]]</f>
        <v>122</v>
      </c>
      <c r="K89" t="s">
        <v>42</v>
      </c>
      <c r="L89">
        <v>48373</v>
      </c>
      <c r="M89" t="str">
        <f>IF(Lead_Data[[#This Row],[Potential_Value]]&gt;100000,"High","Low")</f>
        <v>Low</v>
      </c>
      <c r="N89" t="s">
        <v>55</v>
      </c>
    </row>
    <row r="90" spans="1:14" x14ac:dyDescent="0.3">
      <c r="A90" t="s">
        <v>294</v>
      </c>
      <c r="B90" t="s">
        <v>295</v>
      </c>
      <c r="C90">
        <v>9329046982</v>
      </c>
      <c r="D90" t="s">
        <v>296</v>
      </c>
      <c r="E90" t="s">
        <v>208</v>
      </c>
      <c r="F90" t="s">
        <v>41</v>
      </c>
      <c r="G90" t="s">
        <v>30</v>
      </c>
      <c r="H90" s="1">
        <v>46129</v>
      </c>
      <c r="I90" s="1" t="str">
        <f>TEXT(Lead_Data[[#This Row],[Lead_Date]],"mmmm")</f>
        <v>April</v>
      </c>
      <c r="J90">
        <f ca="1">TODAY()-Lead_Data[[#This Row],[Lead_Date]]</f>
        <v>73</v>
      </c>
      <c r="K90" t="s">
        <v>31</v>
      </c>
      <c r="L90">
        <v>113106</v>
      </c>
      <c r="M90" t="str">
        <f>IF(Lead_Data[[#This Row],[Potential_Value]]&gt;100000,"High","Low")</f>
        <v>High</v>
      </c>
      <c r="N90" t="s">
        <v>55</v>
      </c>
    </row>
    <row r="91" spans="1:14" x14ac:dyDescent="0.3">
      <c r="A91" t="s">
        <v>297</v>
      </c>
      <c r="B91" t="s">
        <v>298</v>
      </c>
      <c r="C91">
        <v>9832230984</v>
      </c>
      <c r="D91" t="s">
        <v>299</v>
      </c>
      <c r="E91" t="s">
        <v>22</v>
      </c>
      <c r="F91" t="s">
        <v>72</v>
      </c>
      <c r="G91" t="s">
        <v>16</v>
      </c>
      <c r="H91" s="1">
        <v>46107</v>
      </c>
      <c r="I91" s="1" t="str">
        <f>TEXT(Lead_Data[[#This Row],[Lead_Date]],"mmmm")</f>
        <v>March</v>
      </c>
      <c r="J91">
        <f ca="1">TODAY()-Lead_Data[[#This Row],[Lead_Date]]</f>
        <v>95</v>
      </c>
      <c r="K91" t="s">
        <v>35</v>
      </c>
      <c r="L91">
        <v>132582</v>
      </c>
      <c r="M91" t="str">
        <f>IF(Lead_Data[[#This Row],[Potential_Value]]&gt;100000,"High","Low")</f>
        <v>High</v>
      </c>
      <c r="N91" t="s">
        <v>36</v>
      </c>
    </row>
    <row r="92" spans="1:14" x14ac:dyDescent="0.3">
      <c r="A92" t="s">
        <v>300</v>
      </c>
      <c r="B92" t="s">
        <v>107</v>
      </c>
      <c r="C92">
        <v>9560181809</v>
      </c>
      <c r="D92" t="s">
        <v>301</v>
      </c>
      <c r="E92" t="s">
        <v>46</v>
      </c>
      <c r="F92" t="s">
        <v>72</v>
      </c>
      <c r="G92" t="s">
        <v>30</v>
      </c>
      <c r="H92" s="1">
        <v>46107</v>
      </c>
      <c r="I92" s="1" t="str">
        <f>TEXT(Lead_Data[[#This Row],[Lead_Date]],"mmmm")</f>
        <v>March</v>
      </c>
      <c r="J92">
        <f ca="1">TODAY()-Lead_Data[[#This Row],[Lead_Date]]</f>
        <v>95</v>
      </c>
      <c r="K92" t="s">
        <v>17</v>
      </c>
      <c r="L92">
        <v>30510</v>
      </c>
      <c r="M92" t="str">
        <f>IF(Lead_Data[[#This Row],[Potential_Value]]&gt;100000,"High","Low")</f>
        <v>Low</v>
      </c>
      <c r="N92" t="s">
        <v>83</v>
      </c>
    </row>
    <row r="93" spans="1:14" x14ac:dyDescent="0.3">
      <c r="A93" t="s">
        <v>302</v>
      </c>
      <c r="B93" t="s">
        <v>303</v>
      </c>
      <c r="C93">
        <v>9885313447</v>
      </c>
      <c r="D93" t="s">
        <v>304</v>
      </c>
      <c r="E93" t="s">
        <v>76</v>
      </c>
      <c r="F93" t="s">
        <v>15</v>
      </c>
      <c r="G93" t="s">
        <v>61</v>
      </c>
      <c r="H93" s="1">
        <v>46076</v>
      </c>
      <c r="I93" s="1" t="str">
        <f>TEXT(Lead_Data[[#This Row],[Lead_Date]],"mmmm")</f>
        <v>February</v>
      </c>
      <c r="J93">
        <f ca="1">TODAY()-Lead_Data[[#This Row],[Lead_Date]]</f>
        <v>126</v>
      </c>
      <c r="K93" t="s">
        <v>24</v>
      </c>
      <c r="L93">
        <v>33005</v>
      </c>
      <c r="M93" t="str">
        <f>IF(Lead_Data[[#This Row],[Potential_Value]]&gt;100000,"High","Low")</f>
        <v>Low</v>
      </c>
      <c r="N93" t="s">
        <v>36</v>
      </c>
    </row>
    <row r="94" spans="1:14" x14ac:dyDescent="0.3">
      <c r="A94" t="s">
        <v>305</v>
      </c>
      <c r="B94" t="s">
        <v>306</v>
      </c>
      <c r="C94">
        <v>9369907747</v>
      </c>
      <c r="D94" t="s">
        <v>307</v>
      </c>
      <c r="E94" t="s">
        <v>65</v>
      </c>
      <c r="F94" t="s">
        <v>15</v>
      </c>
      <c r="G94" t="s">
        <v>48</v>
      </c>
      <c r="H94" s="1">
        <v>46072</v>
      </c>
      <c r="I94" s="1" t="str">
        <f>TEXT(Lead_Data[[#This Row],[Lead_Date]],"mmmm")</f>
        <v>February</v>
      </c>
      <c r="J94">
        <f ca="1">TODAY()-Lead_Data[[#This Row],[Lead_Date]]</f>
        <v>130</v>
      </c>
      <c r="K94" t="s">
        <v>17</v>
      </c>
      <c r="L94">
        <v>175586</v>
      </c>
      <c r="M94" t="str">
        <f>IF(Lead_Data[[#This Row],[Potential_Value]]&gt;100000,"High","Low")</f>
        <v>High</v>
      </c>
      <c r="N94" t="s">
        <v>55</v>
      </c>
    </row>
    <row r="95" spans="1:14" x14ac:dyDescent="0.3">
      <c r="A95" t="s">
        <v>308</v>
      </c>
      <c r="B95" t="s">
        <v>131</v>
      </c>
      <c r="C95">
        <v>9515455881</v>
      </c>
      <c r="D95" t="s">
        <v>309</v>
      </c>
      <c r="E95" t="s">
        <v>208</v>
      </c>
      <c r="F95" t="s">
        <v>29</v>
      </c>
      <c r="G95" t="s">
        <v>30</v>
      </c>
      <c r="H95" s="1">
        <v>46119</v>
      </c>
      <c r="I95" s="1" t="str">
        <f>TEXT(Lead_Data[[#This Row],[Lead_Date]],"mmmm")</f>
        <v>April</v>
      </c>
      <c r="J95">
        <f ca="1">TODAY()-Lead_Data[[#This Row],[Lead_Date]]</f>
        <v>83</v>
      </c>
      <c r="K95" t="s">
        <v>17</v>
      </c>
      <c r="L95">
        <v>77375</v>
      </c>
      <c r="M95" t="str">
        <f>IF(Lead_Data[[#This Row],[Potential_Value]]&gt;100000,"High","Low")</f>
        <v>Low</v>
      </c>
      <c r="N95" t="s">
        <v>50</v>
      </c>
    </row>
    <row r="96" spans="1:14" x14ac:dyDescent="0.3">
      <c r="A96" t="s">
        <v>310</v>
      </c>
      <c r="B96" t="s">
        <v>224</v>
      </c>
      <c r="C96">
        <v>9658717584</v>
      </c>
      <c r="D96" t="s">
        <v>311</v>
      </c>
      <c r="E96" t="s">
        <v>65</v>
      </c>
      <c r="F96" t="s">
        <v>47</v>
      </c>
      <c r="G96" t="s">
        <v>30</v>
      </c>
      <c r="H96" s="1">
        <v>46092</v>
      </c>
      <c r="I96" s="1" t="str">
        <f>TEXT(Lead_Data[[#This Row],[Lead_Date]],"mmmm")</f>
        <v>March</v>
      </c>
      <c r="J96">
        <f ca="1">TODAY()-Lead_Data[[#This Row],[Lead_Date]]</f>
        <v>110</v>
      </c>
      <c r="K96" t="s">
        <v>49</v>
      </c>
      <c r="L96">
        <v>205674</v>
      </c>
      <c r="M96" t="str">
        <f>IF(Lead_Data[[#This Row],[Potential_Value]]&gt;100000,"High","Low")</f>
        <v>High</v>
      </c>
      <c r="N96" t="s">
        <v>83</v>
      </c>
    </row>
    <row r="97" spans="1:14" x14ac:dyDescent="0.3">
      <c r="A97" t="s">
        <v>312</v>
      </c>
      <c r="B97" t="s">
        <v>313</v>
      </c>
      <c r="C97">
        <v>9395091360</v>
      </c>
      <c r="D97" t="s">
        <v>314</v>
      </c>
      <c r="E97" t="s">
        <v>208</v>
      </c>
      <c r="F97" t="s">
        <v>60</v>
      </c>
      <c r="G97" t="s">
        <v>93</v>
      </c>
      <c r="H97" s="1">
        <v>46039</v>
      </c>
      <c r="I97" s="1" t="str">
        <f>TEXT(Lead_Data[[#This Row],[Lead_Date]],"mmmm")</f>
        <v>January</v>
      </c>
      <c r="J97">
        <f ca="1">TODAY()-Lead_Data[[#This Row],[Lead_Date]]</f>
        <v>163</v>
      </c>
      <c r="K97" t="s">
        <v>17</v>
      </c>
      <c r="L97">
        <v>134567</v>
      </c>
      <c r="M97" t="str">
        <f>IF(Lead_Data[[#This Row],[Potential_Value]]&gt;100000,"High","Low")</f>
        <v>High</v>
      </c>
      <c r="N97" t="s">
        <v>55</v>
      </c>
    </row>
    <row r="98" spans="1:14" x14ac:dyDescent="0.3">
      <c r="A98" t="s">
        <v>315</v>
      </c>
      <c r="B98" t="s">
        <v>316</v>
      </c>
      <c r="C98">
        <v>9576232938</v>
      </c>
      <c r="D98" t="s">
        <v>317</v>
      </c>
      <c r="E98" t="s">
        <v>46</v>
      </c>
      <c r="F98" t="s">
        <v>72</v>
      </c>
      <c r="G98" t="s">
        <v>30</v>
      </c>
      <c r="H98" s="1">
        <v>46056</v>
      </c>
      <c r="I98" s="1" t="str">
        <f>TEXT(Lead_Data[[#This Row],[Lead_Date]],"mmmm")</f>
        <v>February</v>
      </c>
      <c r="J98">
        <f ca="1">TODAY()-Lead_Data[[#This Row],[Lead_Date]]</f>
        <v>146</v>
      </c>
      <c r="K98" t="s">
        <v>35</v>
      </c>
      <c r="L98">
        <v>89512</v>
      </c>
      <c r="M98" t="str">
        <f>IF(Lead_Data[[#This Row],[Potential_Value]]&gt;100000,"High","Low")</f>
        <v>Low</v>
      </c>
      <c r="N98" t="s">
        <v>50</v>
      </c>
    </row>
    <row r="99" spans="1:14" x14ac:dyDescent="0.3">
      <c r="A99" t="s">
        <v>318</v>
      </c>
      <c r="B99" t="s">
        <v>319</v>
      </c>
      <c r="C99">
        <v>9671845005</v>
      </c>
      <c r="D99" t="s">
        <v>320</v>
      </c>
      <c r="E99" t="s">
        <v>28</v>
      </c>
      <c r="F99" t="s">
        <v>23</v>
      </c>
      <c r="G99" t="s">
        <v>16</v>
      </c>
      <c r="H99" s="1">
        <v>46115</v>
      </c>
      <c r="I99" s="1" t="str">
        <f>TEXT(Lead_Data[[#This Row],[Lead_Date]],"mmmm")</f>
        <v>April</v>
      </c>
      <c r="J99">
        <f ca="1">TODAY()-Lead_Data[[#This Row],[Lead_Date]]</f>
        <v>87</v>
      </c>
      <c r="K99" t="s">
        <v>31</v>
      </c>
      <c r="L99">
        <v>112677</v>
      </c>
      <c r="M99" t="str">
        <f>IF(Lead_Data[[#This Row],[Potential_Value]]&gt;100000,"High","Low")</f>
        <v>High</v>
      </c>
      <c r="N99" t="s">
        <v>50</v>
      </c>
    </row>
    <row r="100" spans="1:14" x14ac:dyDescent="0.3">
      <c r="A100" t="s">
        <v>321</v>
      </c>
      <c r="B100" t="s">
        <v>152</v>
      </c>
      <c r="C100">
        <v>9874651324</v>
      </c>
      <c r="D100" t="s">
        <v>322</v>
      </c>
      <c r="E100" t="s">
        <v>40</v>
      </c>
      <c r="F100" t="s">
        <v>15</v>
      </c>
      <c r="G100" t="s">
        <v>93</v>
      </c>
      <c r="H100" s="1">
        <v>46164</v>
      </c>
      <c r="I100" s="1" t="str">
        <f>TEXT(Lead_Data[[#This Row],[Lead_Date]],"mmmm")</f>
        <v>May</v>
      </c>
      <c r="J100">
        <f ca="1">TODAY()-Lead_Data[[#This Row],[Lead_Date]]</f>
        <v>38</v>
      </c>
      <c r="K100" t="s">
        <v>24</v>
      </c>
      <c r="L100">
        <v>241597</v>
      </c>
      <c r="M100" t="str">
        <f>IF(Lead_Data[[#This Row],[Potential_Value]]&gt;100000,"High","Low")</f>
        <v>High</v>
      </c>
      <c r="N100" t="s">
        <v>36</v>
      </c>
    </row>
    <row r="101" spans="1:14" x14ac:dyDescent="0.3">
      <c r="A101" t="s">
        <v>323</v>
      </c>
      <c r="B101" t="s">
        <v>168</v>
      </c>
      <c r="C101">
        <v>9837963061</v>
      </c>
      <c r="D101" t="s">
        <v>324</v>
      </c>
      <c r="E101" t="s">
        <v>76</v>
      </c>
      <c r="F101" t="s">
        <v>29</v>
      </c>
      <c r="G101" t="s">
        <v>48</v>
      </c>
      <c r="H101" s="1">
        <v>46047</v>
      </c>
      <c r="I101" s="1" t="str">
        <f>TEXT(Lead_Data[[#This Row],[Lead_Date]],"mmmm")</f>
        <v>January</v>
      </c>
      <c r="J101">
        <f ca="1">TODAY()-Lead_Data[[#This Row],[Lead_Date]]</f>
        <v>155</v>
      </c>
      <c r="K101" t="s">
        <v>31</v>
      </c>
      <c r="L101">
        <v>71393</v>
      </c>
      <c r="M101" t="str">
        <f>IF(Lead_Data[[#This Row],[Potential_Value]]&gt;100000,"High","Low")</f>
        <v>Low</v>
      </c>
      <c r="N101" t="s">
        <v>50</v>
      </c>
    </row>
    <row r="102" spans="1:14" x14ac:dyDescent="0.3">
      <c r="A102" t="s">
        <v>325</v>
      </c>
      <c r="B102" t="s">
        <v>326</v>
      </c>
      <c r="C102">
        <v>9782284915</v>
      </c>
      <c r="D102" t="s">
        <v>327</v>
      </c>
      <c r="E102" t="s">
        <v>14</v>
      </c>
      <c r="F102" t="s">
        <v>60</v>
      </c>
      <c r="G102" t="s">
        <v>61</v>
      </c>
      <c r="H102" s="1">
        <v>46193</v>
      </c>
      <c r="I102" s="1" t="str">
        <f>TEXT(Lead_Data[[#This Row],[Lead_Date]],"mmmm")</f>
        <v>June</v>
      </c>
      <c r="J102">
        <f ca="1">TODAY()-Lead_Data[[#This Row],[Lead_Date]]</f>
        <v>9</v>
      </c>
      <c r="K102" t="s">
        <v>49</v>
      </c>
      <c r="L102">
        <v>83242</v>
      </c>
      <c r="M102" t="str">
        <f>IF(Lead_Data[[#This Row],[Potential_Value]]&gt;100000,"High","Low")</f>
        <v>Low</v>
      </c>
      <c r="N102" t="s">
        <v>18</v>
      </c>
    </row>
    <row r="103" spans="1:14" x14ac:dyDescent="0.3">
      <c r="A103" t="s">
        <v>328</v>
      </c>
      <c r="B103" t="s">
        <v>280</v>
      </c>
      <c r="C103">
        <v>9636734841</v>
      </c>
      <c r="D103" t="s">
        <v>329</v>
      </c>
      <c r="E103" t="s">
        <v>22</v>
      </c>
      <c r="F103" t="s">
        <v>72</v>
      </c>
      <c r="G103" t="s">
        <v>93</v>
      </c>
      <c r="H103" s="1">
        <v>46135</v>
      </c>
      <c r="I103" s="1" t="str">
        <f>TEXT(Lead_Data[[#This Row],[Lead_Date]],"mmmm")</f>
        <v>April</v>
      </c>
      <c r="J103">
        <f ca="1">TODAY()-Lead_Data[[#This Row],[Lead_Date]]</f>
        <v>67</v>
      </c>
      <c r="K103" t="s">
        <v>31</v>
      </c>
      <c r="L103">
        <v>50192</v>
      </c>
      <c r="M103" t="str">
        <f>IF(Lead_Data[[#This Row],[Potential_Value]]&gt;100000,"High","Low")</f>
        <v>Low</v>
      </c>
      <c r="N103" t="s">
        <v>83</v>
      </c>
    </row>
    <row r="104" spans="1:14" x14ac:dyDescent="0.3">
      <c r="A104" t="s">
        <v>330</v>
      </c>
      <c r="B104" t="s">
        <v>331</v>
      </c>
      <c r="C104">
        <v>9863159561</v>
      </c>
      <c r="D104" t="s">
        <v>332</v>
      </c>
      <c r="E104" t="s">
        <v>22</v>
      </c>
      <c r="F104" t="s">
        <v>47</v>
      </c>
      <c r="G104" t="s">
        <v>16</v>
      </c>
      <c r="H104" s="1">
        <v>46087</v>
      </c>
      <c r="I104" s="1" t="str">
        <f>TEXT(Lead_Data[[#This Row],[Lead_Date]],"mmmm")</f>
        <v>March</v>
      </c>
      <c r="J104">
        <f ca="1">TODAY()-Lead_Data[[#This Row],[Lead_Date]]</f>
        <v>115</v>
      </c>
      <c r="K104" t="s">
        <v>31</v>
      </c>
      <c r="L104">
        <v>180299</v>
      </c>
      <c r="M104" t="str">
        <f>IF(Lead_Data[[#This Row],[Potential_Value]]&gt;100000,"High","Low")</f>
        <v>High</v>
      </c>
      <c r="N104" t="s">
        <v>36</v>
      </c>
    </row>
    <row r="105" spans="1:14" x14ac:dyDescent="0.3">
      <c r="A105" t="s">
        <v>333</v>
      </c>
      <c r="B105" t="s">
        <v>192</v>
      </c>
      <c r="C105">
        <v>9873721578</v>
      </c>
      <c r="D105" t="s">
        <v>334</v>
      </c>
      <c r="E105" t="s">
        <v>46</v>
      </c>
      <c r="F105" t="s">
        <v>15</v>
      </c>
      <c r="G105" t="s">
        <v>30</v>
      </c>
      <c r="H105" s="1">
        <v>46082</v>
      </c>
      <c r="I105" s="1" t="str">
        <f>TEXT(Lead_Data[[#This Row],[Lead_Date]],"mmmm")</f>
        <v>March</v>
      </c>
      <c r="J105">
        <f ca="1">TODAY()-Lead_Data[[#This Row],[Lead_Date]]</f>
        <v>120</v>
      </c>
      <c r="K105" t="s">
        <v>49</v>
      </c>
      <c r="L105">
        <v>71051</v>
      </c>
      <c r="M105" t="str">
        <f>IF(Lead_Data[[#This Row],[Potential_Value]]&gt;100000,"High","Low")</f>
        <v>Low</v>
      </c>
      <c r="N105" t="s">
        <v>36</v>
      </c>
    </row>
    <row r="106" spans="1:14" x14ac:dyDescent="0.3">
      <c r="A106" t="s">
        <v>335</v>
      </c>
      <c r="B106" t="s">
        <v>295</v>
      </c>
      <c r="C106">
        <v>9336059929</v>
      </c>
      <c r="D106" t="s">
        <v>336</v>
      </c>
      <c r="E106" t="s">
        <v>65</v>
      </c>
      <c r="F106" t="s">
        <v>47</v>
      </c>
      <c r="G106" t="s">
        <v>93</v>
      </c>
      <c r="H106" s="1">
        <v>46042</v>
      </c>
      <c r="I106" s="1" t="str">
        <f>TEXT(Lead_Data[[#This Row],[Lead_Date]],"mmmm")</f>
        <v>January</v>
      </c>
      <c r="J106">
        <f ca="1">TODAY()-Lead_Data[[#This Row],[Lead_Date]]</f>
        <v>160</v>
      </c>
      <c r="K106" t="s">
        <v>24</v>
      </c>
      <c r="L106">
        <v>168083</v>
      </c>
      <c r="M106" t="str">
        <f>IF(Lead_Data[[#This Row],[Potential_Value]]&gt;100000,"High","Low")</f>
        <v>High</v>
      </c>
      <c r="N106" t="s">
        <v>83</v>
      </c>
    </row>
    <row r="107" spans="1:14" x14ac:dyDescent="0.3">
      <c r="A107" t="s">
        <v>337</v>
      </c>
      <c r="B107" t="s">
        <v>338</v>
      </c>
      <c r="C107">
        <v>9393208009</v>
      </c>
      <c r="D107" t="s">
        <v>339</v>
      </c>
      <c r="E107" t="s">
        <v>22</v>
      </c>
      <c r="F107" t="s">
        <v>23</v>
      </c>
      <c r="G107" t="s">
        <v>61</v>
      </c>
      <c r="H107" s="1">
        <v>46112</v>
      </c>
      <c r="I107" s="1" t="str">
        <f>TEXT(Lead_Data[[#This Row],[Lead_Date]],"mmmm")</f>
        <v>March</v>
      </c>
      <c r="J107">
        <f ca="1">TODAY()-Lead_Data[[#This Row],[Lead_Date]]</f>
        <v>90</v>
      </c>
      <c r="K107" t="s">
        <v>49</v>
      </c>
      <c r="L107">
        <v>47059</v>
      </c>
      <c r="M107" t="str">
        <f>IF(Lead_Data[[#This Row],[Potential_Value]]&gt;100000,"High","Low")</f>
        <v>Low</v>
      </c>
      <c r="N107" t="s">
        <v>36</v>
      </c>
    </row>
    <row r="108" spans="1:14" x14ac:dyDescent="0.3">
      <c r="A108" t="s">
        <v>340</v>
      </c>
      <c r="B108" t="s">
        <v>143</v>
      </c>
      <c r="C108">
        <v>9397462018</v>
      </c>
      <c r="D108" t="s">
        <v>341</v>
      </c>
      <c r="E108" t="s">
        <v>208</v>
      </c>
      <c r="F108" t="s">
        <v>60</v>
      </c>
      <c r="G108" t="s">
        <v>61</v>
      </c>
      <c r="H108" s="1">
        <v>46075</v>
      </c>
      <c r="I108" s="1" t="str">
        <f>TEXT(Lead_Data[[#This Row],[Lead_Date]],"mmmm")</f>
        <v>February</v>
      </c>
      <c r="J108">
        <f ca="1">TODAY()-Lead_Data[[#This Row],[Lead_Date]]</f>
        <v>127</v>
      </c>
      <c r="K108" t="s">
        <v>24</v>
      </c>
      <c r="L108">
        <v>187817</v>
      </c>
      <c r="M108" t="str">
        <f>IF(Lead_Data[[#This Row],[Potential_Value]]&gt;100000,"High","Low")</f>
        <v>High</v>
      </c>
      <c r="N108" t="s">
        <v>83</v>
      </c>
    </row>
    <row r="109" spans="1:14" x14ac:dyDescent="0.3">
      <c r="A109" t="s">
        <v>342</v>
      </c>
      <c r="B109" t="s">
        <v>343</v>
      </c>
      <c r="C109">
        <v>9837300929</v>
      </c>
      <c r="D109" t="s">
        <v>344</v>
      </c>
      <c r="E109" t="s">
        <v>46</v>
      </c>
      <c r="F109" t="s">
        <v>47</v>
      </c>
      <c r="G109" t="s">
        <v>48</v>
      </c>
      <c r="H109" s="1">
        <v>46031</v>
      </c>
      <c r="I109" s="1" t="str">
        <f>TEXT(Lead_Data[[#This Row],[Lead_Date]],"mmmm")</f>
        <v>January</v>
      </c>
      <c r="J109">
        <f ca="1">TODAY()-Lead_Data[[#This Row],[Lead_Date]]</f>
        <v>171</v>
      </c>
      <c r="K109" t="s">
        <v>17</v>
      </c>
      <c r="L109">
        <v>116999</v>
      </c>
      <c r="M109" t="str">
        <f>IF(Lead_Data[[#This Row],[Potential_Value]]&gt;100000,"High","Low")</f>
        <v>High</v>
      </c>
      <c r="N109" t="s">
        <v>36</v>
      </c>
    </row>
    <row r="110" spans="1:14" x14ac:dyDescent="0.3">
      <c r="A110" t="s">
        <v>345</v>
      </c>
      <c r="B110" t="s">
        <v>346</v>
      </c>
      <c r="C110">
        <v>9795789548</v>
      </c>
      <c r="D110" t="s">
        <v>347</v>
      </c>
      <c r="E110" t="s">
        <v>14</v>
      </c>
      <c r="F110" t="s">
        <v>41</v>
      </c>
      <c r="G110" t="s">
        <v>93</v>
      </c>
      <c r="H110" s="1">
        <v>46159</v>
      </c>
      <c r="I110" s="1" t="str">
        <f>TEXT(Lead_Data[[#This Row],[Lead_Date]],"mmmm")</f>
        <v>May</v>
      </c>
      <c r="J110">
        <f ca="1">TODAY()-Lead_Data[[#This Row],[Lead_Date]]</f>
        <v>43</v>
      </c>
      <c r="K110" t="s">
        <v>24</v>
      </c>
      <c r="L110">
        <v>192296</v>
      </c>
      <c r="M110" t="str">
        <f>IF(Lead_Data[[#This Row],[Potential_Value]]&gt;100000,"High","Low")</f>
        <v>High</v>
      </c>
      <c r="N110" t="s">
        <v>83</v>
      </c>
    </row>
    <row r="111" spans="1:14" x14ac:dyDescent="0.3">
      <c r="A111" t="s">
        <v>348</v>
      </c>
      <c r="B111" t="s">
        <v>349</v>
      </c>
      <c r="C111">
        <v>9666082257</v>
      </c>
      <c r="D111" t="s">
        <v>350</v>
      </c>
      <c r="E111" t="s">
        <v>54</v>
      </c>
      <c r="F111" t="s">
        <v>41</v>
      </c>
      <c r="G111" t="s">
        <v>16</v>
      </c>
      <c r="H111" s="1">
        <v>46036</v>
      </c>
      <c r="I111" s="1" t="str">
        <f>TEXT(Lead_Data[[#This Row],[Lead_Date]],"mmmm")</f>
        <v>January</v>
      </c>
      <c r="J111">
        <f ca="1">TODAY()-Lead_Data[[#This Row],[Lead_Date]]</f>
        <v>166</v>
      </c>
      <c r="K111" t="s">
        <v>49</v>
      </c>
      <c r="L111">
        <v>118548</v>
      </c>
      <c r="M111" t="str">
        <f>IF(Lead_Data[[#This Row],[Potential_Value]]&gt;100000,"High","Low")</f>
        <v>High</v>
      </c>
      <c r="N111" t="s">
        <v>55</v>
      </c>
    </row>
    <row r="112" spans="1:14" x14ac:dyDescent="0.3">
      <c r="A112" t="s">
        <v>351</v>
      </c>
      <c r="B112" t="s">
        <v>352</v>
      </c>
      <c r="C112">
        <v>9696500401</v>
      </c>
      <c r="D112" t="s">
        <v>353</v>
      </c>
      <c r="E112" t="s">
        <v>76</v>
      </c>
      <c r="F112" t="s">
        <v>41</v>
      </c>
      <c r="G112" t="s">
        <v>48</v>
      </c>
      <c r="H112" s="1">
        <v>46073</v>
      </c>
      <c r="I112" s="1" t="str">
        <f>TEXT(Lead_Data[[#This Row],[Lead_Date]],"mmmm")</f>
        <v>February</v>
      </c>
      <c r="J112">
        <f ca="1">TODAY()-Lead_Data[[#This Row],[Lead_Date]]</f>
        <v>129</v>
      </c>
      <c r="K112" t="s">
        <v>31</v>
      </c>
      <c r="L112">
        <v>11540</v>
      </c>
      <c r="M112" t="str">
        <f>IF(Lead_Data[[#This Row],[Potential_Value]]&gt;100000,"High","Low")</f>
        <v>Low</v>
      </c>
      <c r="N112" t="s">
        <v>55</v>
      </c>
    </row>
    <row r="113" spans="1:14" x14ac:dyDescent="0.3">
      <c r="A113" t="s">
        <v>354</v>
      </c>
      <c r="B113" t="s">
        <v>355</v>
      </c>
      <c r="C113">
        <v>9864521614</v>
      </c>
      <c r="D113" t="s">
        <v>356</v>
      </c>
      <c r="E113" t="s">
        <v>65</v>
      </c>
      <c r="F113" t="s">
        <v>29</v>
      </c>
      <c r="G113" t="s">
        <v>93</v>
      </c>
      <c r="H113" s="1">
        <v>46170</v>
      </c>
      <c r="I113" s="1" t="str">
        <f>TEXT(Lead_Data[[#This Row],[Lead_Date]],"mmmm")</f>
        <v>May</v>
      </c>
      <c r="J113">
        <f ca="1">TODAY()-Lead_Data[[#This Row],[Lead_Date]]</f>
        <v>32</v>
      </c>
      <c r="K113" t="s">
        <v>31</v>
      </c>
      <c r="L113">
        <v>13888</v>
      </c>
      <c r="M113" t="str">
        <f>IF(Lead_Data[[#This Row],[Potential_Value]]&gt;100000,"High","Low")</f>
        <v>Low</v>
      </c>
      <c r="N113" t="s">
        <v>36</v>
      </c>
    </row>
    <row r="114" spans="1:14" x14ac:dyDescent="0.3">
      <c r="A114" t="s">
        <v>357</v>
      </c>
      <c r="B114" t="s">
        <v>358</v>
      </c>
      <c r="C114">
        <v>9521949553</v>
      </c>
      <c r="D114" t="s">
        <v>359</v>
      </c>
      <c r="E114" t="s">
        <v>28</v>
      </c>
      <c r="F114" t="s">
        <v>15</v>
      </c>
      <c r="G114" t="s">
        <v>16</v>
      </c>
      <c r="H114" s="1">
        <v>46169</v>
      </c>
      <c r="I114" s="1" t="str">
        <f>TEXT(Lead_Data[[#This Row],[Lead_Date]],"mmmm")</f>
        <v>May</v>
      </c>
      <c r="J114">
        <f ca="1">TODAY()-Lead_Data[[#This Row],[Lead_Date]]</f>
        <v>33</v>
      </c>
      <c r="K114" t="s">
        <v>31</v>
      </c>
      <c r="L114">
        <v>48243</v>
      </c>
      <c r="M114" t="str">
        <f>IF(Lead_Data[[#This Row],[Potential_Value]]&gt;100000,"High","Low")</f>
        <v>Low</v>
      </c>
      <c r="N114" t="s">
        <v>83</v>
      </c>
    </row>
    <row r="115" spans="1:14" x14ac:dyDescent="0.3">
      <c r="A115" t="s">
        <v>360</v>
      </c>
      <c r="B115" t="s">
        <v>275</v>
      </c>
      <c r="C115">
        <v>9719005572</v>
      </c>
      <c r="D115" t="s">
        <v>361</v>
      </c>
      <c r="E115" t="s">
        <v>76</v>
      </c>
      <c r="F115" t="s">
        <v>29</v>
      </c>
      <c r="G115" t="s">
        <v>93</v>
      </c>
      <c r="H115" s="1">
        <v>46050</v>
      </c>
      <c r="I115" s="1" t="str">
        <f>TEXT(Lead_Data[[#This Row],[Lead_Date]],"mmmm")</f>
        <v>January</v>
      </c>
      <c r="J115">
        <f ca="1">TODAY()-Lead_Data[[#This Row],[Lead_Date]]</f>
        <v>152</v>
      </c>
      <c r="K115" t="s">
        <v>49</v>
      </c>
      <c r="L115">
        <v>43200</v>
      </c>
      <c r="M115" t="str">
        <f>IF(Lead_Data[[#This Row],[Potential_Value]]&gt;100000,"High","Low")</f>
        <v>Low</v>
      </c>
      <c r="N115" t="s">
        <v>36</v>
      </c>
    </row>
    <row r="116" spans="1:14" x14ac:dyDescent="0.3">
      <c r="A116" t="s">
        <v>362</v>
      </c>
      <c r="B116" t="s">
        <v>363</v>
      </c>
      <c r="C116">
        <v>9395411830</v>
      </c>
      <c r="D116" t="s">
        <v>364</v>
      </c>
      <c r="E116" t="s">
        <v>14</v>
      </c>
      <c r="F116" t="s">
        <v>41</v>
      </c>
      <c r="G116" t="s">
        <v>16</v>
      </c>
      <c r="H116" s="1">
        <v>46122</v>
      </c>
      <c r="I116" s="1" t="str">
        <f>TEXT(Lead_Data[[#This Row],[Lead_Date]],"mmmm")</f>
        <v>April</v>
      </c>
      <c r="J116">
        <f ca="1">TODAY()-Lead_Data[[#This Row],[Lead_Date]]</f>
        <v>80</v>
      </c>
      <c r="K116" t="s">
        <v>35</v>
      </c>
      <c r="L116">
        <v>226152</v>
      </c>
      <c r="M116" t="str">
        <f>IF(Lead_Data[[#This Row],[Potential_Value]]&gt;100000,"High","Low")</f>
        <v>High</v>
      </c>
      <c r="N116" t="s">
        <v>50</v>
      </c>
    </row>
    <row r="117" spans="1:14" x14ac:dyDescent="0.3">
      <c r="A117" t="s">
        <v>365</v>
      </c>
      <c r="B117" t="s">
        <v>366</v>
      </c>
      <c r="C117">
        <v>9336321833</v>
      </c>
      <c r="D117" t="s">
        <v>367</v>
      </c>
      <c r="E117" t="s">
        <v>59</v>
      </c>
      <c r="F117" t="s">
        <v>47</v>
      </c>
      <c r="G117" t="s">
        <v>93</v>
      </c>
      <c r="H117" s="1">
        <v>46144</v>
      </c>
      <c r="I117" s="1" t="str">
        <f>TEXT(Lead_Data[[#This Row],[Lead_Date]],"mmmm")</f>
        <v>May</v>
      </c>
      <c r="J117">
        <f ca="1">TODAY()-Lead_Data[[#This Row],[Lead_Date]]</f>
        <v>58</v>
      </c>
      <c r="K117" t="s">
        <v>17</v>
      </c>
      <c r="L117">
        <v>114790</v>
      </c>
      <c r="M117" t="str">
        <f>IF(Lead_Data[[#This Row],[Potential_Value]]&gt;100000,"High","Low")</f>
        <v>High</v>
      </c>
      <c r="N117" t="s">
        <v>18</v>
      </c>
    </row>
    <row r="118" spans="1:14" x14ac:dyDescent="0.3">
      <c r="A118" t="s">
        <v>368</v>
      </c>
      <c r="B118" t="s">
        <v>355</v>
      </c>
      <c r="C118">
        <v>9830061140</v>
      </c>
      <c r="D118" t="s">
        <v>369</v>
      </c>
      <c r="E118" t="s">
        <v>22</v>
      </c>
      <c r="F118" t="s">
        <v>23</v>
      </c>
      <c r="G118" t="s">
        <v>16</v>
      </c>
      <c r="H118" s="1">
        <v>46086</v>
      </c>
      <c r="I118" s="1" t="str">
        <f>TEXT(Lead_Data[[#This Row],[Lead_Date]],"mmmm")</f>
        <v>March</v>
      </c>
      <c r="J118">
        <f ca="1">TODAY()-Lead_Data[[#This Row],[Lead_Date]]</f>
        <v>116</v>
      </c>
      <c r="K118" t="s">
        <v>35</v>
      </c>
      <c r="L118">
        <v>19995</v>
      </c>
      <c r="M118" t="str">
        <f>IF(Lead_Data[[#This Row],[Potential_Value]]&gt;100000,"High","Low")</f>
        <v>Low</v>
      </c>
      <c r="N118" t="s">
        <v>83</v>
      </c>
    </row>
    <row r="119" spans="1:14" x14ac:dyDescent="0.3">
      <c r="A119" t="s">
        <v>370</v>
      </c>
      <c r="B119" t="s">
        <v>206</v>
      </c>
      <c r="C119">
        <v>9583826707</v>
      </c>
      <c r="D119" t="s">
        <v>371</v>
      </c>
      <c r="E119" t="s">
        <v>54</v>
      </c>
      <c r="F119" t="s">
        <v>41</v>
      </c>
      <c r="G119" t="s">
        <v>48</v>
      </c>
      <c r="H119" s="1">
        <v>46183</v>
      </c>
      <c r="I119" s="1" t="str">
        <f>TEXT(Lead_Data[[#This Row],[Lead_Date]],"mmmm")</f>
        <v>June</v>
      </c>
      <c r="J119">
        <f ca="1">TODAY()-Lead_Data[[#This Row],[Lead_Date]]</f>
        <v>19</v>
      </c>
      <c r="K119" t="s">
        <v>49</v>
      </c>
      <c r="L119">
        <v>162731</v>
      </c>
      <c r="M119" t="str">
        <f>IF(Lead_Data[[#This Row],[Potential_Value]]&gt;100000,"High","Low")</f>
        <v>High</v>
      </c>
      <c r="N119" t="s">
        <v>50</v>
      </c>
    </row>
    <row r="120" spans="1:14" x14ac:dyDescent="0.3">
      <c r="A120" t="s">
        <v>372</v>
      </c>
      <c r="B120" t="s">
        <v>261</v>
      </c>
      <c r="C120">
        <v>9669967057</v>
      </c>
      <c r="D120" t="s">
        <v>373</v>
      </c>
      <c r="E120" t="s">
        <v>46</v>
      </c>
      <c r="F120" t="s">
        <v>72</v>
      </c>
      <c r="G120" t="s">
        <v>30</v>
      </c>
      <c r="H120" s="1">
        <v>46151</v>
      </c>
      <c r="I120" s="1" t="str">
        <f>TEXT(Lead_Data[[#This Row],[Lead_Date]],"mmmm")</f>
        <v>May</v>
      </c>
      <c r="J120">
        <f ca="1">TODAY()-Lead_Data[[#This Row],[Lead_Date]]</f>
        <v>51</v>
      </c>
      <c r="K120" t="s">
        <v>17</v>
      </c>
      <c r="L120">
        <v>172238</v>
      </c>
      <c r="M120" t="str">
        <f>IF(Lead_Data[[#This Row],[Potential_Value]]&gt;100000,"High","Low")</f>
        <v>High</v>
      </c>
      <c r="N120" t="s">
        <v>55</v>
      </c>
    </row>
    <row r="121" spans="1:14" x14ac:dyDescent="0.3">
      <c r="A121" t="s">
        <v>374</v>
      </c>
      <c r="B121" t="s">
        <v>375</v>
      </c>
      <c r="C121">
        <v>9371510513</v>
      </c>
      <c r="D121" t="s">
        <v>376</v>
      </c>
      <c r="E121" t="s">
        <v>46</v>
      </c>
      <c r="F121" t="s">
        <v>29</v>
      </c>
      <c r="G121" t="s">
        <v>30</v>
      </c>
      <c r="H121" s="1">
        <v>46068</v>
      </c>
      <c r="I121" s="1" t="str">
        <f>TEXT(Lead_Data[[#This Row],[Lead_Date]],"mmmm")</f>
        <v>February</v>
      </c>
      <c r="J121">
        <f ca="1">TODAY()-Lead_Data[[#This Row],[Lead_Date]]</f>
        <v>134</v>
      </c>
      <c r="K121" t="s">
        <v>17</v>
      </c>
      <c r="L121">
        <v>43673</v>
      </c>
      <c r="M121" t="str">
        <f>IF(Lead_Data[[#This Row],[Potential_Value]]&gt;100000,"High","Low")</f>
        <v>Low</v>
      </c>
      <c r="N121" t="s">
        <v>83</v>
      </c>
    </row>
    <row r="122" spans="1:14" x14ac:dyDescent="0.3">
      <c r="A122" t="s">
        <v>377</v>
      </c>
      <c r="B122" t="s">
        <v>378</v>
      </c>
      <c r="C122">
        <v>9577691645</v>
      </c>
      <c r="D122" t="s">
        <v>379</v>
      </c>
      <c r="E122" t="s">
        <v>208</v>
      </c>
      <c r="F122" t="s">
        <v>23</v>
      </c>
      <c r="G122" t="s">
        <v>93</v>
      </c>
      <c r="H122" s="1">
        <v>46153</v>
      </c>
      <c r="I122" s="1" t="str">
        <f>TEXT(Lead_Data[[#This Row],[Lead_Date]],"mmmm")</f>
        <v>May</v>
      </c>
      <c r="J122">
        <f ca="1">TODAY()-Lead_Data[[#This Row],[Lead_Date]]</f>
        <v>49</v>
      </c>
      <c r="K122" t="s">
        <v>17</v>
      </c>
      <c r="L122">
        <v>202277</v>
      </c>
      <c r="M122" t="str">
        <f>IF(Lead_Data[[#This Row],[Potential_Value]]&gt;100000,"High","Low")</f>
        <v>High</v>
      </c>
      <c r="N122" t="s">
        <v>83</v>
      </c>
    </row>
    <row r="123" spans="1:14" x14ac:dyDescent="0.3">
      <c r="A123" t="s">
        <v>380</v>
      </c>
      <c r="B123" t="s">
        <v>381</v>
      </c>
      <c r="C123">
        <v>9360715863</v>
      </c>
      <c r="D123" t="s">
        <v>382</v>
      </c>
      <c r="E123" t="s">
        <v>59</v>
      </c>
      <c r="F123" t="s">
        <v>23</v>
      </c>
      <c r="G123" t="s">
        <v>30</v>
      </c>
      <c r="H123" s="1">
        <v>46190</v>
      </c>
      <c r="I123" s="1" t="str">
        <f>TEXT(Lead_Data[[#This Row],[Lead_Date]],"mmmm")</f>
        <v>June</v>
      </c>
      <c r="J123">
        <f ca="1">TODAY()-Lead_Data[[#This Row],[Lead_Date]]</f>
        <v>12</v>
      </c>
      <c r="K123" t="s">
        <v>42</v>
      </c>
      <c r="L123">
        <v>201911</v>
      </c>
      <c r="M123" t="str">
        <f>IF(Lead_Data[[#This Row],[Potential_Value]]&gt;100000,"High","Low")</f>
        <v>High</v>
      </c>
      <c r="N123" t="s">
        <v>36</v>
      </c>
    </row>
    <row r="124" spans="1:14" x14ac:dyDescent="0.3">
      <c r="A124" t="s">
        <v>383</v>
      </c>
      <c r="B124" t="s">
        <v>384</v>
      </c>
      <c r="C124">
        <v>9548638813</v>
      </c>
      <c r="D124" t="s">
        <v>385</v>
      </c>
      <c r="E124" t="s">
        <v>22</v>
      </c>
      <c r="F124" t="s">
        <v>23</v>
      </c>
      <c r="G124" t="s">
        <v>61</v>
      </c>
      <c r="H124" s="1">
        <v>46065</v>
      </c>
      <c r="I124" s="1" t="str">
        <f>TEXT(Lead_Data[[#This Row],[Lead_Date]],"mmmm")</f>
        <v>February</v>
      </c>
      <c r="J124">
        <f ca="1">TODAY()-Lead_Data[[#This Row],[Lead_Date]]</f>
        <v>137</v>
      </c>
      <c r="K124" t="s">
        <v>42</v>
      </c>
      <c r="L124">
        <v>208227</v>
      </c>
      <c r="M124" t="str">
        <f>IF(Lead_Data[[#This Row],[Potential_Value]]&gt;100000,"High","Low")</f>
        <v>High</v>
      </c>
      <c r="N124" t="s">
        <v>83</v>
      </c>
    </row>
    <row r="125" spans="1:14" x14ac:dyDescent="0.3">
      <c r="A125" t="s">
        <v>386</v>
      </c>
      <c r="B125" t="s">
        <v>387</v>
      </c>
      <c r="C125">
        <v>9346908880</v>
      </c>
      <c r="D125" t="s">
        <v>388</v>
      </c>
      <c r="E125" t="s">
        <v>59</v>
      </c>
      <c r="F125" t="s">
        <v>15</v>
      </c>
      <c r="G125" t="s">
        <v>16</v>
      </c>
      <c r="H125" s="1">
        <v>46139</v>
      </c>
      <c r="I125" s="1" t="str">
        <f>TEXT(Lead_Data[[#This Row],[Lead_Date]],"mmmm")</f>
        <v>April</v>
      </c>
      <c r="J125">
        <f ca="1">TODAY()-Lead_Data[[#This Row],[Lead_Date]]</f>
        <v>63</v>
      </c>
      <c r="K125" t="s">
        <v>24</v>
      </c>
      <c r="L125">
        <v>64610</v>
      </c>
      <c r="M125" t="str">
        <f>IF(Lead_Data[[#This Row],[Potential_Value]]&gt;100000,"High","Low")</f>
        <v>Low</v>
      </c>
      <c r="N125" t="s">
        <v>18</v>
      </c>
    </row>
    <row r="126" spans="1:14" x14ac:dyDescent="0.3">
      <c r="A126" t="s">
        <v>389</v>
      </c>
      <c r="B126" t="s">
        <v>390</v>
      </c>
      <c r="C126">
        <v>9752825859</v>
      </c>
      <c r="D126" t="s">
        <v>391</v>
      </c>
      <c r="E126" t="s">
        <v>208</v>
      </c>
      <c r="F126" t="s">
        <v>72</v>
      </c>
      <c r="G126" t="s">
        <v>93</v>
      </c>
      <c r="H126" s="1">
        <v>46118</v>
      </c>
      <c r="I126" s="1" t="str">
        <f>TEXT(Lead_Data[[#This Row],[Lead_Date]],"mmmm")</f>
        <v>April</v>
      </c>
      <c r="J126">
        <f ca="1">TODAY()-Lead_Data[[#This Row],[Lead_Date]]</f>
        <v>84</v>
      </c>
      <c r="K126" t="s">
        <v>24</v>
      </c>
      <c r="L126">
        <v>52265</v>
      </c>
      <c r="M126" t="str">
        <f>IF(Lead_Data[[#This Row],[Potential_Value]]&gt;100000,"High","Low")</f>
        <v>Low</v>
      </c>
      <c r="N126" t="s">
        <v>83</v>
      </c>
    </row>
    <row r="127" spans="1:14" x14ac:dyDescent="0.3">
      <c r="A127" t="s">
        <v>392</v>
      </c>
      <c r="B127" t="s">
        <v>393</v>
      </c>
      <c r="C127">
        <v>9745479229</v>
      </c>
      <c r="D127" t="s">
        <v>394</v>
      </c>
      <c r="E127" t="s">
        <v>40</v>
      </c>
      <c r="F127" t="s">
        <v>23</v>
      </c>
      <c r="G127" t="s">
        <v>61</v>
      </c>
      <c r="H127" s="1">
        <v>46052</v>
      </c>
      <c r="I127" s="1" t="str">
        <f>TEXT(Lead_Data[[#This Row],[Lead_Date]],"mmmm")</f>
        <v>January</v>
      </c>
      <c r="J127">
        <f ca="1">TODAY()-Lead_Data[[#This Row],[Lead_Date]]</f>
        <v>150</v>
      </c>
      <c r="K127" t="s">
        <v>24</v>
      </c>
      <c r="L127">
        <v>155537</v>
      </c>
      <c r="M127" t="str">
        <f>IF(Lead_Data[[#This Row],[Potential_Value]]&gt;100000,"High","Low")</f>
        <v>High</v>
      </c>
      <c r="N127" t="s">
        <v>18</v>
      </c>
    </row>
    <row r="128" spans="1:14" x14ac:dyDescent="0.3">
      <c r="A128" t="s">
        <v>395</v>
      </c>
      <c r="B128" t="s">
        <v>396</v>
      </c>
      <c r="C128">
        <v>9843827107</v>
      </c>
      <c r="D128" t="s">
        <v>397</v>
      </c>
      <c r="E128" t="s">
        <v>76</v>
      </c>
      <c r="F128" t="s">
        <v>41</v>
      </c>
      <c r="G128" t="s">
        <v>61</v>
      </c>
      <c r="H128" s="1">
        <v>46160</v>
      </c>
      <c r="I128" s="1" t="str">
        <f>TEXT(Lead_Data[[#This Row],[Lead_Date]],"mmmm")</f>
        <v>May</v>
      </c>
      <c r="J128">
        <f ca="1">TODAY()-Lead_Data[[#This Row],[Lead_Date]]</f>
        <v>42</v>
      </c>
      <c r="K128" t="s">
        <v>49</v>
      </c>
      <c r="L128">
        <v>108497</v>
      </c>
      <c r="M128" t="str">
        <f>IF(Lead_Data[[#This Row],[Potential_Value]]&gt;100000,"High","Low")</f>
        <v>High</v>
      </c>
      <c r="N128" t="s">
        <v>83</v>
      </c>
    </row>
    <row r="129" spans="1:14" x14ac:dyDescent="0.3">
      <c r="A129" t="s">
        <v>398</v>
      </c>
      <c r="B129" t="s">
        <v>399</v>
      </c>
      <c r="C129">
        <v>9620923381</v>
      </c>
      <c r="D129" t="s">
        <v>400</v>
      </c>
      <c r="E129" t="s">
        <v>22</v>
      </c>
      <c r="F129" t="s">
        <v>72</v>
      </c>
      <c r="G129" t="s">
        <v>16</v>
      </c>
      <c r="H129" s="1">
        <v>46136</v>
      </c>
      <c r="I129" s="1" t="str">
        <f>TEXT(Lead_Data[[#This Row],[Lead_Date]],"mmmm")</f>
        <v>April</v>
      </c>
      <c r="J129">
        <f ca="1">TODAY()-Lead_Data[[#This Row],[Lead_Date]]</f>
        <v>66</v>
      </c>
      <c r="K129" t="s">
        <v>35</v>
      </c>
      <c r="L129">
        <v>22659</v>
      </c>
      <c r="M129" t="str">
        <f>IF(Lead_Data[[#This Row],[Potential_Value]]&gt;100000,"High","Low")</f>
        <v>Low</v>
      </c>
      <c r="N129" t="s">
        <v>83</v>
      </c>
    </row>
    <row r="130" spans="1:14" x14ac:dyDescent="0.3">
      <c r="A130" t="s">
        <v>401</v>
      </c>
      <c r="B130" t="s">
        <v>402</v>
      </c>
      <c r="C130">
        <v>9399080108</v>
      </c>
      <c r="D130" t="s">
        <v>403</v>
      </c>
      <c r="E130" t="s">
        <v>208</v>
      </c>
      <c r="F130" t="s">
        <v>41</v>
      </c>
      <c r="G130" t="s">
        <v>30</v>
      </c>
      <c r="H130" s="1">
        <v>46103</v>
      </c>
      <c r="I130" s="1" t="str">
        <f>TEXT(Lead_Data[[#This Row],[Lead_Date]],"mmmm")</f>
        <v>March</v>
      </c>
      <c r="J130">
        <f ca="1">TODAY()-Lead_Data[[#This Row],[Lead_Date]]</f>
        <v>99</v>
      </c>
      <c r="K130" t="s">
        <v>31</v>
      </c>
      <c r="L130">
        <v>49155</v>
      </c>
      <c r="M130" t="str">
        <f>IF(Lead_Data[[#This Row],[Potential_Value]]&gt;100000,"High","Low")</f>
        <v>Low</v>
      </c>
      <c r="N130" t="s">
        <v>83</v>
      </c>
    </row>
    <row r="131" spans="1:14" x14ac:dyDescent="0.3">
      <c r="A131" t="s">
        <v>404</v>
      </c>
      <c r="B131" t="s">
        <v>88</v>
      </c>
      <c r="C131">
        <v>9578810474</v>
      </c>
      <c r="D131" t="s">
        <v>405</v>
      </c>
      <c r="E131" t="s">
        <v>208</v>
      </c>
      <c r="F131" t="s">
        <v>72</v>
      </c>
      <c r="G131" t="s">
        <v>48</v>
      </c>
      <c r="H131" s="1">
        <v>46116</v>
      </c>
      <c r="I131" s="1" t="str">
        <f>TEXT(Lead_Data[[#This Row],[Lead_Date]],"mmmm")</f>
        <v>April</v>
      </c>
      <c r="J131">
        <f ca="1">TODAY()-Lead_Data[[#This Row],[Lead_Date]]</f>
        <v>86</v>
      </c>
      <c r="K131" t="s">
        <v>31</v>
      </c>
      <c r="L131">
        <v>170568</v>
      </c>
      <c r="M131" t="str">
        <f>IF(Lead_Data[[#This Row],[Potential_Value]]&gt;100000,"High","Low")</f>
        <v>High</v>
      </c>
      <c r="N131" t="s">
        <v>36</v>
      </c>
    </row>
    <row r="132" spans="1:14" x14ac:dyDescent="0.3">
      <c r="A132" t="s">
        <v>406</v>
      </c>
      <c r="B132" t="s">
        <v>180</v>
      </c>
      <c r="C132">
        <v>9357642270</v>
      </c>
      <c r="D132" t="s">
        <v>407</v>
      </c>
      <c r="E132" t="s">
        <v>14</v>
      </c>
      <c r="F132" t="s">
        <v>47</v>
      </c>
      <c r="G132" t="s">
        <v>61</v>
      </c>
      <c r="H132" s="1">
        <v>46100</v>
      </c>
      <c r="I132" s="1" t="str">
        <f>TEXT(Lead_Data[[#This Row],[Lead_Date]],"mmmm")</f>
        <v>March</v>
      </c>
      <c r="J132">
        <f ca="1">TODAY()-Lead_Data[[#This Row],[Lead_Date]]</f>
        <v>102</v>
      </c>
      <c r="K132" t="s">
        <v>42</v>
      </c>
      <c r="L132">
        <v>68788</v>
      </c>
      <c r="M132" t="str">
        <f>IF(Lead_Data[[#This Row],[Potential_Value]]&gt;100000,"High","Low")</f>
        <v>Low</v>
      </c>
      <c r="N132" t="s">
        <v>55</v>
      </c>
    </row>
    <row r="133" spans="1:14" x14ac:dyDescent="0.3">
      <c r="A133" t="s">
        <v>408</v>
      </c>
      <c r="B133" t="s">
        <v>409</v>
      </c>
      <c r="C133">
        <v>9737405162</v>
      </c>
      <c r="D133" t="s">
        <v>410</v>
      </c>
      <c r="E133" t="s">
        <v>28</v>
      </c>
      <c r="F133" t="s">
        <v>60</v>
      </c>
      <c r="G133" t="s">
        <v>48</v>
      </c>
      <c r="H133" s="1">
        <v>46116</v>
      </c>
      <c r="I133" s="1" t="str">
        <f>TEXT(Lead_Data[[#This Row],[Lead_Date]],"mmmm")</f>
        <v>April</v>
      </c>
      <c r="J133">
        <f ca="1">TODAY()-Lead_Data[[#This Row],[Lead_Date]]</f>
        <v>86</v>
      </c>
      <c r="K133" t="s">
        <v>31</v>
      </c>
      <c r="L133">
        <v>45323</v>
      </c>
      <c r="M133" t="str">
        <f>IF(Lead_Data[[#This Row],[Potential_Value]]&gt;100000,"High","Low")</f>
        <v>Low</v>
      </c>
      <c r="N133" t="s">
        <v>36</v>
      </c>
    </row>
    <row r="134" spans="1:14" x14ac:dyDescent="0.3">
      <c r="A134" t="s">
        <v>411</v>
      </c>
      <c r="B134" t="s">
        <v>412</v>
      </c>
      <c r="C134">
        <v>9522858685</v>
      </c>
      <c r="D134" t="s">
        <v>413</v>
      </c>
      <c r="E134" t="s">
        <v>59</v>
      </c>
      <c r="F134" t="s">
        <v>60</v>
      </c>
      <c r="G134" t="s">
        <v>61</v>
      </c>
      <c r="H134" s="1">
        <v>46039</v>
      </c>
      <c r="I134" s="1" t="str">
        <f>TEXT(Lead_Data[[#This Row],[Lead_Date]],"mmmm")</f>
        <v>January</v>
      </c>
      <c r="J134">
        <f ca="1">TODAY()-Lead_Data[[#This Row],[Lead_Date]]</f>
        <v>163</v>
      </c>
      <c r="K134" t="s">
        <v>24</v>
      </c>
      <c r="L134">
        <v>222748</v>
      </c>
      <c r="M134" t="str">
        <f>IF(Lead_Data[[#This Row],[Potential_Value]]&gt;100000,"High","Low")</f>
        <v>High</v>
      </c>
      <c r="N134" t="s">
        <v>83</v>
      </c>
    </row>
    <row r="135" spans="1:14" x14ac:dyDescent="0.3">
      <c r="A135" t="s">
        <v>414</v>
      </c>
      <c r="B135" t="s">
        <v>180</v>
      </c>
      <c r="C135">
        <v>9357020859</v>
      </c>
      <c r="D135" t="s">
        <v>415</v>
      </c>
      <c r="E135" t="s">
        <v>28</v>
      </c>
      <c r="F135" t="s">
        <v>29</v>
      </c>
      <c r="G135" t="s">
        <v>16</v>
      </c>
      <c r="H135" s="1">
        <v>46175</v>
      </c>
      <c r="I135" s="1" t="str">
        <f>TEXT(Lead_Data[[#This Row],[Lead_Date]],"mmmm")</f>
        <v>June</v>
      </c>
      <c r="J135">
        <f ca="1">TODAY()-Lead_Data[[#This Row],[Lead_Date]]</f>
        <v>27</v>
      </c>
      <c r="K135" t="s">
        <v>42</v>
      </c>
      <c r="L135">
        <v>202288</v>
      </c>
      <c r="M135" t="str">
        <f>IF(Lead_Data[[#This Row],[Potential_Value]]&gt;100000,"High","Low")</f>
        <v>High</v>
      </c>
      <c r="N135" t="s">
        <v>55</v>
      </c>
    </row>
    <row r="136" spans="1:14" x14ac:dyDescent="0.3">
      <c r="A136" t="s">
        <v>416</v>
      </c>
      <c r="B136" t="s">
        <v>81</v>
      </c>
      <c r="C136">
        <v>9815905846</v>
      </c>
      <c r="D136" t="s">
        <v>417</v>
      </c>
      <c r="E136" t="s">
        <v>40</v>
      </c>
      <c r="F136" t="s">
        <v>23</v>
      </c>
      <c r="G136" t="s">
        <v>48</v>
      </c>
      <c r="H136" s="1">
        <v>46038</v>
      </c>
      <c r="I136" s="1" t="str">
        <f>TEXT(Lead_Data[[#This Row],[Lead_Date]],"mmmm")</f>
        <v>January</v>
      </c>
      <c r="J136">
        <f ca="1">TODAY()-Lead_Data[[#This Row],[Lead_Date]]</f>
        <v>164</v>
      </c>
      <c r="K136" t="s">
        <v>31</v>
      </c>
      <c r="L136">
        <v>72303</v>
      </c>
      <c r="M136" t="str">
        <f>IF(Lead_Data[[#This Row],[Potential_Value]]&gt;100000,"High","Low")</f>
        <v>Low</v>
      </c>
      <c r="N136" t="s">
        <v>50</v>
      </c>
    </row>
    <row r="137" spans="1:14" x14ac:dyDescent="0.3">
      <c r="A137" t="s">
        <v>418</v>
      </c>
      <c r="B137" t="s">
        <v>246</v>
      </c>
      <c r="C137">
        <v>9811657601</v>
      </c>
      <c r="D137" t="s">
        <v>419</v>
      </c>
      <c r="E137" t="s">
        <v>40</v>
      </c>
      <c r="F137" t="s">
        <v>41</v>
      </c>
      <c r="G137" t="s">
        <v>93</v>
      </c>
      <c r="H137" s="1">
        <v>46179</v>
      </c>
      <c r="I137" s="1" t="str">
        <f>TEXT(Lead_Data[[#This Row],[Lead_Date]],"mmmm")</f>
        <v>June</v>
      </c>
      <c r="J137">
        <f ca="1">TODAY()-Lead_Data[[#This Row],[Lead_Date]]</f>
        <v>23</v>
      </c>
      <c r="K137" t="s">
        <v>31</v>
      </c>
      <c r="L137">
        <v>118312</v>
      </c>
      <c r="M137" t="str">
        <f>IF(Lead_Data[[#This Row],[Potential_Value]]&gt;100000,"High","Low")</f>
        <v>High</v>
      </c>
      <c r="N137" t="s">
        <v>50</v>
      </c>
    </row>
    <row r="138" spans="1:14" x14ac:dyDescent="0.3">
      <c r="A138" t="s">
        <v>420</v>
      </c>
      <c r="B138" t="s">
        <v>146</v>
      </c>
      <c r="C138">
        <v>9396918958</v>
      </c>
      <c r="D138" t="s">
        <v>421</v>
      </c>
      <c r="E138" t="s">
        <v>76</v>
      </c>
      <c r="F138" t="s">
        <v>60</v>
      </c>
      <c r="G138" t="s">
        <v>16</v>
      </c>
      <c r="H138" s="1">
        <v>46187</v>
      </c>
      <c r="I138" s="1" t="str">
        <f>TEXT(Lead_Data[[#This Row],[Lead_Date]],"mmmm")</f>
        <v>June</v>
      </c>
      <c r="J138">
        <f ca="1">TODAY()-Lead_Data[[#This Row],[Lead_Date]]</f>
        <v>15</v>
      </c>
      <c r="K138" t="s">
        <v>31</v>
      </c>
      <c r="L138">
        <v>143320</v>
      </c>
      <c r="M138" t="str">
        <f>IF(Lead_Data[[#This Row],[Potential_Value]]&gt;100000,"High","Low")</f>
        <v>High</v>
      </c>
      <c r="N138" t="s">
        <v>83</v>
      </c>
    </row>
    <row r="139" spans="1:14" x14ac:dyDescent="0.3">
      <c r="A139" t="s">
        <v>422</v>
      </c>
      <c r="B139" t="s">
        <v>168</v>
      </c>
      <c r="C139">
        <v>9874146043</v>
      </c>
      <c r="D139" t="s">
        <v>423</v>
      </c>
      <c r="E139" t="s">
        <v>208</v>
      </c>
      <c r="F139" t="s">
        <v>29</v>
      </c>
      <c r="G139" t="s">
        <v>48</v>
      </c>
      <c r="H139" s="1">
        <v>46160</v>
      </c>
      <c r="I139" s="1" t="str">
        <f>TEXT(Lead_Data[[#This Row],[Lead_Date]],"mmmm")</f>
        <v>May</v>
      </c>
      <c r="J139">
        <f ca="1">TODAY()-Lead_Data[[#This Row],[Lead_Date]]</f>
        <v>42</v>
      </c>
      <c r="K139" t="s">
        <v>35</v>
      </c>
      <c r="L139">
        <v>249143</v>
      </c>
      <c r="M139" t="str">
        <f>IF(Lead_Data[[#This Row],[Potential_Value]]&gt;100000,"High","Low")</f>
        <v>High</v>
      </c>
      <c r="N139" t="s">
        <v>55</v>
      </c>
    </row>
    <row r="140" spans="1:14" x14ac:dyDescent="0.3">
      <c r="A140" t="s">
        <v>424</v>
      </c>
      <c r="B140" t="s">
        <v>425</v>
      </c>
      <c r="C140">
        <v>9533540679</v>
      </c>
      <c r="D140" t="s">
        <v>426</v>
      </c>
      <c r="E140" t="s">
        <v>14</v>
      </c>
      <c r="F140" t="s">
        <v>15</v>
      </c>
      <c r="G140" t="s">
        <v>93</v>
      </c>
      <c r="H140" s="1">
        <v>46080</v>
      </c>
      <c r="I140" s="1" t="str">
        <f>TEXT(Lead_Data[[#This Row],[Lead_Date]],"mmmm")</f>
        <v>February</v>
      </c>
      <c r="J140">
        <f ca="1">TODAY()-Lead_Data[[#This Row],[Lead_Date]]</f>
        <v>122</v>
      </c>
      <c r="K140" t="s">
        <v>35</v>
      </c>
      <c r="L140">
        <v>20175</v>
      </c>
      <c r="M140" t="str">
        <f>IF(Lead_Data[[#This Row],[Potential_Value]]&gt;100000,"High","Low")</f>
        <v>Low</v>
      </c>
      <c r="N140" t="s">
        <v>36</v>
      </c>
    </row>
    <row r="141" spans="1:14" x14ac:dyDescent="0.3">
      <c r="A141" t="s">
        <v>427</v>
      </c>
      <c r="B141" t="s">
        <v>393</v>
      </c>
      <c r="C141">
        <v>9617050844</v>
      </c>
      <c r="D141" t="s">
        <v>428</v>
      </c>
      <c r="E141" t="s">
        <v>40</v>
      </c>
      <c r="F141" t="s">
        <v>41</v>
      </c>
      <c r="G141" t="s">
        <v>48</v>
      </c>
      <c r="H141" s="1">
        <v>46091</v>
      </c>
      <c r="I141" s="1" t="str">
        <f>TEXT(Lead_Data[[#This Row],[Lead_Date]],"mmmm")</f>
        <v>March</v>
      </c>
      <c r="J141">
        <f ca="1">TODAY()-Lead_Data[[#This Row],[Lead_Date]]</f>
        <v>111</v>
      </c>
      <c r="K141" t="s">
        <v>35</v>
      </c>
      <c r="L141">
        <v>216687</v>
      </c>
      <c r="M141" t="str">
        <f>IF(Lead_Data[[#This Row],[Potential_Value]]&gt;100000,"High","Low")</f>
        <v>High</v>
      </c>
      <c r="N141" t="s">
        <v>18</v>
      </c>
    </row>
    <row r="142" spans="1:14" x14ac:dyDescent="0.3">
      <c r="A142" t="s">
        <v>429</v>
      </c>
      <c r="B142" t="s">
        <v>313</v>
      </c>
      <c r="C142">
        <v>9721465027</v>
      </c>
      <c r="D142" t="s">
        <v>430</v>
      </c>
      <c r="E142" t="s">
        <v>208</v>
      </c>
      <c r="F142" t="s">
        <v>72</v>
      </c>
      <c r="G142" t="s">
        <v>61</v>
      </c>
      <c r="H142" s="1">
        <v>46152</v>
      </c>
      <c r="I142" s="1" t="str">
        <f>TEXT(Lead_Data[[#This Row],[Lead_Date]],"mmmm")</f>
        <v>May</v>
      </c>
      <c r="J142">
        <f ca="1">TODAY()-Lead_Data[[#This Row],[Lead_Date]]</f>
        <v>50</v>
      </c>
      <c r="K142" t="s">
        <v>31</v>
      </c>
      <c r="L142">
        <v>230652</v>
      </c>
      <c r="M142" t="str">
        <f>IF(Lead_Data[[#This Row],[Potential_Value]]&gt;100000,"High","Low")</f>
        <v>High</v>
      </c>
      <c r="N142" t="s">
        <v>50</v>
      </c>
    </row>
    <row r="143" spans="1:14" x14ac:dyDescent="0.3">
      <c r="A143" t="s">
        <v>431</v>
      </c>
      <c r="B143" t="s">
        <v>52</v>
      </c>
      <c r="C143">
        <v>9635761344</v>
      </c>
      <c r="D143" t="s">
        <v>432</v>
      </c>
      <c r="E143" t="s">
        <v>65</v>
      </c>
      <c r="F143" t="s">
        <v>47</v>
      </c>
      <c r="G143" t="s">
        <v>93</v>
      </c>
      <c r="H143" s="1">
        <v>46122</v>
      </c>
      <c r="I143" s="1" t="str">
        <f>TEXT(Lead_Data[[#This Row],[Lead_Date]],"mmmm")</f>
        <v>April</v>
      </c>
      <c r="J143">
        <f ca="1">TODAY()-Lead_Data[[#This Row],[Lead_Date]]</f>
        <v>80</v>
      </c>
      <c r="K143" t="s">
        <v>24</v>
      </c>
      <c r="L143">
        <v>247913</v>
      </c>
      <c r="M143" t="str">
        <f>IF(Lead_Data[[#This Row],[Potential_Value]]&gt;100000,"High","Low")</f>
        <v>High</v>
      </c>
      <c r="N143" t="s">
        <v>18</v>
      </c>
    </row>
    <row r="144" spans="1:14" x14ac:dyDescent="0.3">
      <c r="A144" t="s">
        <v>433</v>
      </c>
      <c r="B144" t="s">
        <v>434</v>
      </c>
      <c r="C144">
        <v>9310856538</v>
      </c>
      <c r="D144" t="s">
        <v>435</v>
      </c>
      <c r="E144" t="s">
        <v>76</v>
      </c>
      <c r="F144" t="s">
        <v>41</v>
      </c>
      <c r="G144" t="s">
        <v>93</v>
      </c>
      <c r="H144" s="1">
        <v>46029</v>
      </c>
      <c r="I144" s="1" t="str">
        <f>TEXT(Lead_Data[[#This Row],[Lead_Date]],"mmmm")</f>
        <v>January</v>
      </c>
      <c r="J144">
        <f ca="1">TODAY()-Lead_Data[[#This Row],[Lead_Date]]</f>
        <v>173</v>
      </c>
      <c r="K144" t="s">
        <v>42</v>
      </c>
      <c r="L144">
        <v>241934</v>
      </c>
      <c r="M144" t="str">
        <f>IF(Lead_Data[[#This Row],[Potential_Value]]&gt;100000,"High","Low")</f>
        <v>High</v>
      </c>
      <c r="N144" t="s">
        <v>83</v>
      </c>
    </row>
    <row r="145" spans="1:14" x14ac:dyDescent="0.3">
      <c r="A145" t="s">
        <v>436</v>
      </c>
      <c r="B145" t="s">
        <v>437</v>
      </c>
      <c r="C145">
        <v>9320442454</v>
      </c>
      <c r="D145" t="s">
        <v>438</v>
      </c>
      <c r="E145" t="s">
        <v>59</v>
      </c>
      <c r="F145" t="s">
        <v>72</v>
      </c>
      <c r="G145" t="s">
        <v>30</v>
      </c>
      <c r="H145" s="1">
        <v>46167</v>
      </c>
      <c r="I145" s="1" t="str">
        <f>TEXT(Lead_Data[[#This Row],[Lead_Date]],"mmmm")</f>
        <v>May</v>
      </c>
      <c r="J145">
        <f ca="1">TODAY()-Lead_Data[[#This Row],[Lead_Date]]</f>
        <v>35</v>
      </c>
      <c r="K145" t="s">
        <v>17</v>
      </c>
      <c r="L145">
        <v>39332</v>
      </c>
      <c r="M145" t="str">
        <f>IF(Lead_Data[[#This Row],[Potential_Value]]&gt;100000,"High","Low")</f>
        <v>Low</v>
      </c>
      <c r="N145" t="s">
        <v>36</v>
      </c>
    </row>
    <row r="146" spans="1:14" x14ac:dyDescent="0.3">
      <c r="A146" t="s">
        <v>439</v>
      </c>
      <c r="B146" t="s">
        <v>440</v>
      </c>
      <c r="C146">
        <v>9629037655</v>
      </c>
      <c r="D146" t="s">
        <v>441</v>
      </c>
      <c r="E146" t="s">
        <v>208</v>
      </c>
      <c r="F146" t="s">
        <v>23</v>
      </c>
      <c r="G146" t="s">
        <v>93</v>
      </c>
      <c r="H146" s="1">
        <v>46030</v>
      </c>
      <c r="I146" s="1" t="str">
        <f>TEXT(Lead_Data[[#This Row],[Lead_Date]],"mmmm")</f>
        <v>January</v>
      </c>
      <c r="J146">
        <f ca="1">TODAY()-Lead_Data[[#This Row],[Lead_Date]]</f>
        <v>172</v>
      </c>
      <c r="K146" t="s">
        <v>35</v>
      </c>
      <c r="L146">
        <v>178701</v>
      </c>
      <c r="M146" t="str">
        <f>IF(Lead_Data[[#This Row],[Potential_Value]]&gt;100000,"High","Low")</f>
        <v>High</v>
      </c>
      <c r="N146" t="s">
        <v>36</v>
      </c>
    </row>
    <row r="147" spans="1:14" x14ac:dyDescent="0.3">
      <c r="A147" t="s">
        <v>442</v>
      </c>
      <c r="B147" t="s">
        <v>425</v>
      </c>
      <c r="C147">
        <v>9889251917</v>
      </c>
      <c r="D147" t="s">
        <v>443</v>
      </c>
      <c r="E147" t="s">
        <v>22</v>
      </c>
      <c r="F147" t="s">
        <v>60</v>
      </c>
      <c r="G147" t="s">
        <v>16</v>
      </c>
      <c r="H147" s="1">
        <v>46116</v>
      </c>
      <c r="I147" s="1" t="str">
        <f>TEXT(Lead_Data[[#This Row],[Lead_Date]],"mmmm")</f>
        <v>April</v>
      </c>
      <c r="J147">
        <f ca="1">TODAY()-Lead_Data[[#This Row],[Lead_Date]]</f>
        <v>86</v>
      </c>
      <c r="K147" t="s">
        <v>35</v>
      </c>
      <c r="L147">
        <v>27287</v>
      </c>
      <c r="M147" t="str">
        <f>IF(Lead_Data[[#This Row],[Potential_Value]]&gt;100000,"High","Low")</f>
        <v>Low</v>
      </c>
      <c r="N147" t="s">
        <v>55</v>
      </c>
    </row>
    <row r="148" spans="1:14" x14ac:dyDescent="0.3">
      <c r="A148" t="s">
        <v>444</v>
      </c>
      <c r="B148" t="s">
        <v>26</v>
      </c>
      <c r="C148">
        <v>9725028322</v>
      </c>
      <c r="D148" t="s">
        <v>445</v>
      </c>
      <c r="E148" t="s">
        <v>208</v>
      </c>
      <c r="F148" t="s">
        <v>60</v>
      </c>
      <c r="G148" t="s">
        <v>30</v>
      </c>
      <c r="H148" s="1">
        <v>46031</v>
      </c>
      <c r="I148" s="1" t="str">
        <f>TEXT(Lead_Data[[#This Row],[Lead_Date]],"mmmm")</f>
        <v>January</v>
      </c>
      <c r="J148">
        <f ca="1">TODAY()-Lead_Data[[#This Row],[Lead_Date]]</f>
        <v>171</v>
      </c>
      <c r="K148" t="s">
        <v>35</v>
      </c>
      <c r="L148">
        <v>175742</v>
      </c>
      <c r="M148" t="str">
        <f>IF(Lead_Data[[#This Row],[Potential_Value]]&gt;100000,"High","Low")</f>
        <v>High</v>
      </c>
      <c r="N148" t="s">
        <v>83</v>
      </c>
    </row>
    <row r="149" spans="1:14" x14ac:dyDescent="0.3">
      <c r="A149" t="s">
        <v>446</v>
      </c>
      <c r="B149" t="s">
        <v>447</v>
      </c>
      <c r="C149">
        <v>9896747628</v>
      </c>
      <c r="D149" t="s">
        <v>448</v>
      </c>
      <c r="E149" t="s">
        <v>54</v>
      </c>
      <c r="F149" t="s">
        <v>15</v>
      </c>
      <c r="G149" t="s">
        <v>61</v>
      </c>
      <c r="H149" s="1">
        <v>46075</v>
      </c>
      <c r="I149" s="1" t="str">
        <f>TEXT(Lead_Data[[#This Row],[Lead_Date]],"mmmm")</f>
        <v>February</v>
      </c>
      <c r="J149">
        <f ca="1">TODAY()-Lead_Data[[#This Row],[Lead_Date]]</f>
        <v>127</v>
      </c>
      <c r="K149" t="s">
        <v>24</v>
      </c>
      <c r="L149">
        <v>78461</v>
      </c>
      <c r="M149" t="str">
        <f>IF(Lead_Data[[#This Row],[Potential_Value]]&gt;100000,"High","Low")</f>
        <v>Low</v>
      </c>
      <c r="N149" t="s">
        <v>36</v>
      </c>
    </row>
    <row r="150" spans="1:14" x14ac:dyDescent="0.3">
      <c r="A150" t="s">
        <v>449</v>
      </c>
      <c r="B150" t="s">
        <v>450</v>
      </c>
      <c r="C150">
        <v>9616497216</v>
      </c>
      <c r="D150" t="s">
        <v>451</v>
      </c>
      <c r="E150" t="s">
        <v>65</v>
      </c>
      <c r="F150" t="s">
        <v>60</v>
      </c>
      <c r="G150" t="s">
        <v>16</v>
      </c>
      <c r="H150" s="1">
        <v>46117</v>
      </c>
      <c r="I150" s="1" t="str">
        <f>TEXT(Lead_Data[[#This Row],[Lead_Date]],"mmmm")</f>
        <v>April</v>
      </c>
      <c r="J150">
        <f ca="1">TODAY()-Lead_Data[[#This Row],[Lead_Date]]</f>
        <v>85</v>
      </c>
      <c r="K150" t="s">
        <v>42</v>
      </c>
      <c r="L150">
        <v>134802</v>
      </c>
      <c r="M150" t="str">
        <f>IF(Lead_Data[[#This Row],[Potential_Value]]&gt;100000,"High","Low")</f>
        <v>High</v>
      </c>
      <c r="N150" t="s">
        <v>83</v>
      </c>
    </row>
    <row r="151" spans="1:14" x14ac:dyDescent="0.3">
      <c r="A151" t="s">
        <v>452</v>
      </c>
      <c r="B151" t="s">
        <v>453</v>
      </c>
      <c r="C151">
        <v>9514194076</v>
      </c>
      <c r="D151" t="s">
        <v>454</v>
      </c>
      <c r="E151" t="s">
        <v>40</v>
      </c>
      <c r="F151" t="s">
        <v>60</v>
      </c>
      <c r="G151" t="s">
        <v>30</v>
      </c>
      <c r="H151" s="1">
        <v>46134</v>
      </c>
      <c r="I151" s="1" t="str">
        <f>TEXT(Lead_Data[[#This Row],[Lead_Date]],"mmmm")</f>
        <v>April</v>
      </c>
      <c r="J151">
        <f ca="1">TODAY()-Lead_Data[[#This Row],[Lead_Date]]</f>
        <v>68</v>
      </c>
      <c r="K151" t="s">
        <v>49</v>
      </c>
      <c r="L151">
        <v>132930</v>
      </c>
      <c r="M151" t="str">
        <f>IF(Lead_Data[[#This Row],[Potential_Value]]&gt;100000,"High","Low")</f>
        <v>High</v>
      </c>
      <c r="N151" t="s">
        <v>36</v>
      </c>
    </row>
    <row r="152" spans="1:14" x14ac:dyDescent="0.3">
      <c r="A152" t="s">
        <v>455</v>
      </c>
      <c r="B152" t="s">
        <v>456</v>
      </c>
      <c r="C152">
        <v>9887113575</v>
      </c>
      <c r="D152" t="s">
        <v>457</v>
      </c>
      <c r="E152" t="s">
        <v>59</v>
      </c>
      <c r="F152" t="s">
        <v>29</v>
      </c>
      <c r="G152" t="s">
        <v>30</v>
      </c>
      <c r="H152" s="1">
        <v>46096</v>
      </c>
      <c r="I152" s="1" t="str">
        <f>TEXT(Lead_Data[[#This Row],[Lead_Date]],"mmmm")</f>
        <v>March</v>
      </c>
      <c r="J152">
        <f ca="1">TODAY()-Lead_Data[[#This Row],[Lead_Date]]</f>
        <v>106</v>
      </c>
      <c r="K152" t="s">
        <v>42</v>
      </c>
      <c r="L152">
        <v>62962</v>
      </c>
      <c r="M152" t="str">
        <f>IF(Lead_Data[[#This Row],[Potential_Value]]&gt;100000,"High","Low")</f>
        <v>Low</v>
      </c>
      <c r="N152" t="s">
        <v>83</v>
      </c>
    </row>
    <row r="153" spans="1:14" x14ac:dyDescent="0.3">
      <c r="A153" t="s">
        <v>458</v>
      </c>
      <c r="B153" t="s">
        <v>283</v>
      </c>
      <c r="C153">
        <v>9522843161</v>
      </c>
      <c r="D153" t="s">
        <v>459</v>
      </c>
      <c r="E153" t="s">
        <v>59</v>
      </c>
      <c r="F153" t="s">
        <v>29</v>
      </c>
      <c r="G153" t="s">
        <v>16</v>
      </c>
      <c r="H153" s="1">
        <v>46148</v>
      </c>
      <c r="I153" s="1" t="str">
        <f>TEXT(Lead_Data[[#This Row],[Lead_Date]],"mmmm")</f>
        <v>May</v>
      </c>
      <c r="J153">
        <f ca="1">TODAY()-Lead_Data[[#This Row],[Lead_Date]]</f>
        <v>54</v>
      </c>
      <c r="K153" t="s">
        <v>49</v>
      </c>
      <c r="L153">
        <v>228060</v>
      </c>
      <c r="M153" t="str">
        <f>IF(Lead_Data[[#This Row],[Potential_Value]]&gt;100000,"High","Low")</f>
        <v>High</v>
      </c>
      <c r="N153" t="s">
        <v>18</v>
      </c>
    </row>
    <row r="154" spans="1:14" x14ac:dyDescent="0.3">
      <c r="A154" t="s">
        <v>460</v>
      </c>
      <c r="B154" t="s">
        <v>390</v>
      </c>
      <c r="C154">
        <v>9748081562</v>
      </c>
      <c r="D154" t="s">
        <v>461</v>
      </c>
      <c r="E154" t="s">
        <v>22</v>
      </c>
      <c r="F154" t="s">
        <v>29</v>
      </c>
      <c r="G154" t="s">
        <v>93</v>
      </c>
      <c r="H154" s="1">
        <v>46077</v>
      </c>
      <c r="I154" s="1" t="str">
        <f>TEXT(Lead_Data[[#This Row],[Lead_Date]],"mmmm")</f>
        <v>February</v>
      </c>
      <c r="J154">
        <f ca="1">TODAY()-Lead_Data[[#This Row],[Lead_Date]]</f>
        <v>125</v>
      </c>
      <c r="K154" t="s">
        <v>17</v>
      </c>
      <c r="L154">
        <v>176862</v>
      </c>
      <c r="M154" t="str">
        <f>IF(Lead_Data[[#This Row],[Potential_Value]]&gt;100000,"High","Low")</f>
        <v>High</v>
      </c>
      <c r="N154" t="s">
        <v>36</v>
      </c>
    </row>
    <row r="155" spans="1:14" x14ac:dyDescent="0.3">
      <c r="A155" t="s">
        <v>462</v>
      </c>
      <c r="B155" t="s">
        <v>463</v>
      </c>
      <c r="C155">
        <v>9324033524</v>
      </c>
      <c r="D155" t="s">
        <v>464</v>
      </c>
      <c r="E155" t="s">
        <v>65</v>
      </c>
      <c r="F155" t="s">
        <v>15</v>
      </c>
      <c r="G155" t="s">
        <v>30</v>
      </c>
      <c r="H155" s="1">
        <v>46183</v>
      </c>
      <c r="I155" s="1" t="str">
        <f>TEXT(Lead_Data[[#This Row],[Lead_Date]],"mmmm")</f>
        <v>June</v>
      </c>
      <c r="J155">
        <f ca="1">TODAY()-Lead_Data[[#This Row],[Lead_Date]]</f>
        <v>19</v>
      </c>
      <c r="K155" t="s">
        <v>24</v>
      </c>
      <c r="L155">
        <v>113441</v>
      </c>
      <c r="M155" t="str">
        <f>IF(Lead_Data[[#This Row],[Potential_Value]]&gt;100000,"High","Low")</f>
        <v>High</v>
      </c>
      <c r="N155" t="s">
        <v>36</v>
      </c>
    </row>
    <row r="156" spans="1:14" x14ac:dyDescent="0.3">
      <c r="A156" t="s">
        <v>465</v>
      </c>
      <c r="B156" t="s">
        <v>466</v>
      </c>
      <c r="C156">
        <v>9859922283</v>
      </c>
      <c r="D156" t="s">
        <v>467</v>
      </c>
      <c r="E156" t="s">
        <v>54</v>
      </c>
      <c r="F156" t="s">
        <v>15</v>
      </c>
      <c r="G156" t="s">
        <v>48</v>
      </c>
      <c r="H156" s="1">
        <v>46075</v>
      </c>
      <c r="I156" s="1" t="str">
        <f>TEXT(Lead_Data[[#This Row],[Lead_Date]],"mmmm")</f>
        <v>February</v>
      </c>
      <c r="J156">
        <f ca="1">TODAY()-Lead_Data[[#This Row],[Lead_Date]]</f>
        <v>127</v>
      </c>
      <c r="K156" t="s">
        <v>42</v>
      </c>
      <c r="L156">
        <v>141383</v>
      </c>
      <c r="M156" t="str">
        <f>IF(Lead_Data[[#This Row],[Potential_Value]]&gt;100000,"High","Low")</f>
        <v>High</v>
      </c>
      <c r="N156" t="s">
        <v>50</v>
      </c>
    </row>
    <row r="157" spans="1:14" x14ac:dyDescent="0.3">
      <c r="A157" t="s">
        <v>468</v>
      </c>
      <c r="B157" t="s">
        <v>469</v>
      </c>
      <c r="C157">
        <v>9771862026</v>
      </c>
      <c r="D157" t="s">
        <v>470</v>
      </c>
      <c r="E157" t="s">
        <v>40</v>
      </c>
      <c r="F157" t="s">
        <v>47</v>
      </c>
      <c r="G157" t="s">
        <v>16</v>
      </c>
      <c r="H157" s="1">
        <v>46055</v>
      </c>
      <c r="I157" s="1" t="str">
        <f>TEXT(Lead_Data[[#This Row],[Lead_Date]],"mmmm")</f>
        <v>February</v>
      </c>
      <c r="J157">
        <f ca="1">TODAY()-Lead_Data[[#This Row],[Lead_Date]]</f>
        <v>147</v>
      </c>
      <c r="K157" t="s">
        <v>35</v>
      </c>
      <c r="L157">
        <v>18882</v>
      </c>
      <c r="M157" t="str">
        <f>IF(Lead_Data[[#This Row],[Potential_Value]]&gt;100000,"High","Low")</f>
        <v>Low</v>
      </c>
      <c r="N157" t="s">
        <v>83</v>
      </c>
    </row>
    <row r="158" spans="1:14" x14ac:dyDescent="0.3">
      <c r="A158" t="s">
        <v>471</v>
      </c>
      <c r="B158" t="s">
        <v>472</v>
      </c>
      <c r="C158">
        <v>9770439125</v>
      </c>
      <c r="D158" t="s">
        <v>473</v>
      </c>
      <c r="E158" t="s">
        <v>40</v>
      </c>
      <c r="F158" t="s">
        <v>41</v>
      </c>
      <c r="G158" t="s">
        <v>61</v>
      </c>
      <c r="H158" s="1">
        <v>46192</v>
      </c>
      <c r="I158" s="1" t="str">
        <f>TEXT(Lead_Data[[#This Row],[Lead_Date]],"mmmm")</f>
        <v>June</v>
      </c>
      <c r="J158">
        <f ca="1">TODAY()-Lead_Data[[#This Row],[Lead_Date]]</f>
        <v>10</v>
      </c>
      <c r="K158" t="s">
        <v>31</v>
      </c>
      <c r="L158">
        <v>131413</v>
      </c>
      <c r="M158" t="str">
        <f>IF(Lead_Data[[#This Row],[Potential_Value]]&gt;100000,"High","Low")</f>
        <v>High</v>
      </c>
      <c r="N158" t="s">
        <v>55</v>
      </c>
    </row>
    <row r="159" spans="1:14" x14ac:dyDescent="0.3">
      <c r="A159" t="s">
        <v>474</v>
      </c>
      <c r="B159" t="s">
        <v>390</v>
      </c>
      <c r="C159">
        <v>9754835935</v>
      </c>
      <c r="D159" t="s">
        <v>475</v>
      </c>
      <c r="E159" t="s">
        <v>22</v>
      </c>
      <c r="F159" t="s">
        <v>47</v>
      </c>
      <c r="G159" t="s">
        <v>93</v>
      </c>
      <c r="H159" s="1">
        <v>46141</v>
      </c>
      <c r="I159" s="1" t="str">
        <f>TEXT(Lead_Data[[#This Row],[Lead_Date]],"mmmm")</f>
        <v>April</v>
      </c>
      <c r="J159">
        <f ca="1">TODAY()-Lead_Data[[#This Row],[Lead_Date]]</f>
        <v>61</v>
      </c>
      <c r="K159" t="s">
        <v>49</v>
      </c>
      <c r="L159">
        <v>89038</v>
      </c>
      <c r="M159" t="str">
        <f>IF(Lead_Data[[#This Row],[Potential_Value]]&gt;100000,"High","Low")</f>
        <v>Low</v>
      </c>
      <c r="N159" t="s">
        <v>18</v>
      </c>
    </row>
    <row r="160" spans="1:14" x14ac:dyDescent="0.3">
      <c r="A160" t="s">
        <v>476</v>
      </c>
      <c r="B160" t="s">
        <v>477</v>
      </c>
      <c r="C160">
        <v>9753830486</v>
      </c>
      <c r="D160" t="s">
        <v>478</v>
      </c>
      <c r="E160" t="s">
        <v>40</v>
      </c>
      <c r="F160" t="s">
        <v>15</v>
      </c>
      <c r="G160" t="s">
        <v>93</v>
      </c>
      <c r="H160" s="1">
        <v>46177</v>
      </c>
      <c r="I160" s="1" t="str">
        <f>TEXT(Lead_Data[[#This Row],[Lead_Date]],"mmmm")</f>
        <v>June</v>
      </c>
      <c r="J160">
        <f ca="1">TODAY()-Lead_Data[[#This Row],[Lead_Date]]</f>
        <v>25</v>
      </c>
      <c r="K160" t="s">
        <v>31</v>
      </c>
      <c r="L160">
        <v>96002</v>
      </c>
      <c r="M160" t="str">
        <f>IF(Lead_Data[[#This Row],[Potential_Value]]&gt;100000,"High","Low")</f>
        <v>Low</v>
      </c>
      <c r="N160" t="s">
        <v>50</v>
      </c>
    </row>
    <row r="161" spans="1:14" x14ac:dyDescent="0.3">
      <c r="A161" t="s">
        <v>479</v>
      </c>
      <c r="B161" t="s">
        <v>480</v>
      </c>
      <c r="C161">
        <v>9798301822</v>
      </c>
      <c r="D161" t="s">
        <v>481</v>
      </c>
      <c r="E161" t="s">
        <v>22</v>
      </c>
      <c r="F161" t="s">
        <v>29</v>
      </c>
      <c r="G161" t="s">
        <v>93</v>
      </c>
      <c r="H161" s="1">
        <v>46049</v>
      </c>
      <c r="I161" s="1" t="str">
        <f>TEXT(Lead_Data[[#This Row],[Lead_Date]],"mmmm")</f>
        <v>January</v>
      </c>
      <c r="J161">
        <f ca="1">TODAY()-Lead_Data[[#This Row],[Lead_Date]]</f>
        <v>153</v>
      </c>
      <c r="K161" t="s">
        <v>31</v>
      </c>
      <c r="L161">
        <v>218375</v>
      </c>
      <c r="M161" t="str">
        <f>IF(Lead_Data[[#This Row],[Potential_Value]]&gt;100000,"High","Low")</f>
        <v>High</v>
      </c>
      <c r="N161" t="s">
        <v>83</v>
      </c>
    </row>
    <row r="162" spans="1:14" x14ac:dyDescent="0.3">
      <c r="A162" t="s">
        <v>482</v>
      </c>
      <c r="B162" t="s">
        <v>483</v>
      </c>
      <c r="C162">
        <v>9724667188</v>
      </c>
      <c r="D162" t="s">
        <v>484</v>
      </c>
      <c r="E162" t="s">
        <v>14</v>
      </c>
      <c r="F162" t="s">
        <v>15</v>
      </c>
      <c r="G162" t="s">
        <v>93</v>
      </c>
      <c r="H162" s="1">
        <v>46186</v>
      </c>
      <c r="I162" s="1" t="str">
        <f>TEXT(Lead_Data[[#This Row],[Lead_Date]],"mmmm")</f>
        <v>June</v>
      </c>
      <c r="J162">
        <f ca="1">TODAY()-Lead_Data[[#This Row],[Lead_Date]]</f>
        <v>16</v>
      </c>
      <c r="K162" t="s">
        <v>24</v>
      </c>
      <c r="L162">
        <v>131612</v>
      </c>
      <c r="M162" t="str">
        <f>IF(Lead_Data[[#This Row],[Potential_Value]]&gt;100000,"High","Low")</f>
        <v>High</v>
      </c>
      <c r="N162" t="s">
        <v>36</v>
      </c>
    </row>
    <row r="163" spans="1:14" x14ac:dyDescent="0.3">
      <c r="A163" t="s">
        <v>485</v>
      </c>
      <c r="B163" t="s">
        <v>486</v>
      </c>
      <c r="C163">
        <v>9539857025</v>
      </c>
      <c r="D163" t="s">
        <v>487</v>
      </c>
      <c r="E163" t="s">
        <v>54</v>
      </c>
      <c r="F163" t="s">
        <v>29</v>
      </c>
      <c r="G163" t="s">
        <v>30</v>
      </c>
      <c r="H163" s="1">
        <v>46151</v>
      </c>
      <c r="I163" s="1" t="str">
        <f>TEXT(Lead_Data[[#This Row],[Lead_Date]],"mmmm")</f>
        <v>May</v>
      </c>
      <c r="J163">
        <f ca="1">TODAY()-Lead_Data[[#This Row],[Lead_Date]]</f>
        <v>51</v>
      </c>
      <c r="K163" t="s">
        <v>31</v>
      </c>
      <c r="L163">
        <v>77426</v>
      </c>
      <c r="M163" t="str">
        <f>IF(Lead_Data[[#This Row],[Potential_Value]]&gt;100000,"High","Low")</f>
        <v>Low</v>
      </c>
      <c r="N163" t="s">
        <v>18</v>
      </c>
    </row>
    <row r="164" spans="1:14" x14ac:dyDescent="0.3">
      <c r="A164" t="s">
        <v>488</v>
      </c>
      <c r="B164" t="s">
        <v>489</v>
      </c>
      <c r="C164">
        <v>9767717430</v>
      </c>
      <c r="D164" t="s">
        <v>490</v>
      </c>
      <c r="E164" t="s">
        <v>28</v>
      </c>
      <c r="F164" t="s">
        <v>41</v>
      </c>
      <c r="G164" t="s">
        <v>48</v>
      </c>
      <c r="H164" s="1">
        <v>46169</v>
      </c>
      <c r="I164" s="1" t="str">
        <f>TEXT(Lead_Data[[#This Row],[Lead_Date]],"mmmm")</f>
        <v>May</v>
      </c>
      <c r="J164">
        <f ca="1">TODAY()-Lead_Data[[#This Row],[Lead_Date]]</f>
        <v>33</v>
      </c>
      <c r="K164" t="s">
        <v>31</v>
      </c>
      <c r="L164">
        <v>185084</v>
      </c>
      <c r="M164" t="str">
        <f>IF(Lead_Data[[#This Row],[Potential_Value]]&gt;100000,"High","Low")</f>
        <v>High</v>
      </c>
      <c r="N164" t="s">
        <v>18</v>
      </c>
    </row>
    <row r="165" spans="1:14" x14ac:dyDescent="0.3">
      <c r="A165" t="s">
        <v>491</v>
      </c>
      <c r="B165" t="s">
        <v>492</v>
      </c>
      <c r="C165">
        <v>9870921788</v>
      </c>
      <c r="D165" t="s">
        <v>493</v>
      </c>
      <c r="E165" t="s">
        <v>65</v>
      </c>
      <c r="F165" t="s">
        <v>15</v>
      </c>
      <c r="G165" t="s">
        <v>30</v>
      </c>
      <c r="H165" s="1">
        <v>46133</v>
      </c>
      <c r="I165" s="1" t="str">
        <f>TEXT(Lead_Data[[#This Row],[Lead_Date]],"mmmm")</f>
        <v>April</v>
      </c>
      <c r="J165">
        <f ca="1">TODAY()-Lead_Data[[#This Row],[Lead_Date]]</f>
        <v>69</v>
      </c>
      <c r="K165" t="s">
        <v>24</v>
      </c>
      <c r="L165">
        <v>73542</v>
      </c>
      <c r="M165" t="str">
        <f>IF(Lead_Data[[#This Row],[Potential_Value]]&gt;100000,"High","Low")</f>
        <v>Low</v>
      </c>
      <c r="N165" t="s">
        <v>55</v>
      </c>
    </row>
    <row r="166" spans="1:14" x14ac:dyDescent="0.3">
      <c r="A166" t="s">
        <v>494</v>
      </c>
      <c r="B166" t="s">
        <v>495</v>
      </c>
      <c r="C166">
        <v>9574792748</v>
      </c>
      <c r="D166" t="s">
        <v>496</v>
      </c>
      <c r="E166" t="s">
        <v>208</v>
      </c>
      <c r="F166" t="s">
        <v>47</v>
      </c>
      <c r="G166" t="s">
        <v>48</v>
      </c>
      <c r="H166" s="1">
        <v>46139</v>
      </c>
      <c r="I166" s="1" t="str">
        <f>TEXT(Lead_Data[[#This Row],[Lead_Date]],"mmmm")</f>
        <v>April</v>
      </c>
      <c r="J166">
        <f ca="1">TODAY()-Lead_Data[[#This Row],[Lead_Date]]</f>
        <v>63</v>
      </c>
      <c r="K166" t="s">
        <v>42</v>
      </c>
      <c r="L166">
        <v>187011</v>
      </c>
      <c r="M166" t="str">
        <f>IF(Lead_Data[[#This Row],[Potential_Value]]&gt;100000,"High","Low")</f>
        <v>High</v>
      </c>
      <c r="N166" t="s">
        <v>50</v>
      </c>
    </row>
    <row r="167" spans="1:14" x14ac:dyDescent="0.3">
      <c r="A167" t="s">
        <v>497</v>
      </c>
      <c r="B167" t="s">
        <v>498</v>
      </c>
      <c r="C167">
        <v>9575745233</v>
      </c>
      <c r="D167" t="s">
        <v>499</v>
      </c>
      <c r="E167" t="s">
        <v>208</v>
      </c>
      <c r="F167" t="s">
        <v>15</v>
      </c>
      <c r="G167" t="s">
        <v>16</v>
      </c>
      <c r="H167" s="1">
        <v>46050</v>
      </c>
      <c r="I167" s="1" t="str">
        <f>TEXT(Lead_Data[[#This Row],[Lead_Date]],"mmmm")</f>
        <v>January</v>
      </c>
      <c r="J167">
        <f ca="1">TODAY()-Lead_Data[[#This Row],[Lead_Date]]</f>
        <v>152</v>
      </c>
      <c r="K167" t="s">
        <v>31</v>
      </c>
      <c r="L167">
        <v>52163</v>
      </c>
      <c r="M167" t="str">
        <f>IF(Lead_Data[[#This Row],[Potential_Value]]&gt;100000,"High","Low")</f>
        <v>Low</v>
      </c>
      <c r="N167" t="s">
        <v>50</v>
      </c>
    </row>
    <row r="168" spans="1:14" x14ac:dyDescent="0.3">
      <c r="A168" t="s">
        <v>500</v>
      </c>
      <c r="B168" t="s">
        <v>110</v>
      </c>
      <c r="C168">
        <v>9371308603</v>
      </c>
      <c r="D168" t="s">
        <v>501</v>
      </c>
      <c r="E168" t="s">
        <v>22</v>
      </c>
      <c r="F168" t="s">
        <v>41</v>
      </c>
      <c r="G168" t="s">
        <v>48</v>
      </c>
      <c r="H168" s="1">
        <v>46161</v>
      </c>
      <c r="I168" s="1" t="str">
        <f>TEXT(Lead_Data[[#This Row],[Lead_Date]],"mmmm")</f>
        <v>May</v>
      </c>
      <c r="J168">
        <f ca="1">TODAY()-Lead_Data[[#This Row],[Lead_Date]]</f>
        <v>41</v>
      </c>
      <c r="K168" t="s">
        <v>42</v>
      </c>
      <c r="L168">
        <v>14222</v>
      </c>
      <c r="M168" t="str">
        <f>IF(Lead_Data[[#This Row],[Potential_Value]]&gt;100000,"High","Low")</f>
        <v>Low</v>
      </c>
      <c r="N168" t="s">
        <v>83</v>
      </c>
    </row>
    <row r="169" spans="1:14" x14ac:dyDescent="0.3">
      <c r="A169" t="s">
        <v>502</v>
      </c>
      <c r="B169" t="s">
        <v>110</v>
      </c>
      <c r="C169">
        <v>9538197723</v>
      </c>
      <c r="D169" t="s">
        <v>503</v>
      </c>
      <c r="E169" t="s">
        <v>59</v>
      </c>
      <c r="F169" t="s">
        <v>29</v>
      </c>
      <c r="G169" t="s">
        <v>16</v>
      </c>
      <c r="H169" s="1">
        <v>46198</v>
      </c>
      <c r="I169" s="1" t="str">
        <f>TEXT(Lead_Data[[#This Row],[Lead_Date]],"mmmm")</f>
        <v>June</v>
      </c>
      <c r="J169">
        <f ca="1">TODAY()-Lead_Data[[#This Row],[Lead_Date]]</f>
        <v>4</v>
      </c>
      <c r="K169" t="s">
        <v>17</v>
      </c>
      <c r="L169">
        <v>201130</v>
      </c>
      <c r="M169" t="str">
        <f>IF(Lead_Data[[#This Row],[Potential_Value]]&gt;100000,"High","Low")</f>
        <v>High</v>
      </c>
      <c r="N169" t="s">
        <v>18</v>
      </c>
    </row>
    <row r="170" spans="1:14" x14ac:dyDescent="0.3">
      <c r="A170" t="s">
        <v>504</v>
      </c>
      <c r="B170" t="s">
        <v>505</v>
      </c>
      <c r="C170">
        <v>9646823602</v>
      </c>
      <c r="D170" t="s">
        <v>506</v>
      </c>
      <c r="E170" t="s">
        <v>76</v>
      </c>
      <c r="F170" t="s">
        <v>23</v>
      </c>
      <c r="G170" t="s">
        <v>30</v>
      </c>
      <c r="H170" s="1">
        <v>46120</v>
      </c>
      <c r="I170" s="1" t="str">
        <f>TEXT(Lead_Data[[#This Row],[Lead_Date]],"mmmm")</f>
        <v>April</v>
      </c>
      <c r="J170">
        <f ca="1">TODAY()-Lead_Data[[#This Row],[Lead_Date]]</f>
        <v>82</v>
      </c>
      <c r="K170" t="s">
        <v>17</v>
      </c>
      <c r="L170">
        <v>119728</v>
      </c>
      <c r="M170" t="str">
        <f>IF(Lead_Data[[#This Row],[Potential_Value]]&gt;100000,"High","Low")</f>
        <v>High</v>
      </c>
      <c r="N170" t="s">
        <v>55</v>
      </c>
    </row>
    <row r="171" spans="1:14" x14ac:dyDescent="0.3">
      <c r="A171" t="s">
        <v>507</v>
      </c>
      <c r="B171" t="s">
        <v>508</v>
      </c>
      <c r="C171">
        <v>9840122122</v>
      </c>
      <c r="D171" t="s">
        <v>509</v>
      </c>
      <c r="E171" t="s">
        <v>76</v>
      </c>
      <c r="F171" t="s">
        <v>47</v>
      </c>
      <c r="G171" t="s">
        <v>93</v>
      </c>
      <c r="H171" s="1">
        <v>46100</v>
      </c>
      <c r="I171" s="1" t="str">
        <f>TEXT(Lead_Data[[#This Row],[Lead_Date]],"mmmm")</f>
        <v>March</v>
      </c>
      <c r="J171">
        <f ca="1">TODAY()-Lead_Data[[#This Row],[Lead_Date]]</f>
        <v>102</v>
      </c>
      <c r="K171" t="s">
        <v>24</v>
      </c>
      <c r="L171">
        <v>131141</v>
      </c>
      <c r="M171" t="str">
        <f>IF(Lead_Data[[#This Row],[Potential_Value]]&gt;100000,"High","Low")</f>
        <v>High</v>
      </c>
      <c r="N171" t="s">
        <v>50</v>
      </c>
    </row>
    <row r="172" spans="1:14" x14ac:dyDescent="0.3">
      <c r="A172" t="s">
        <v>510</v>
      </c>
      <c r="B172" t="s">
        <v>123</v>
      </c>
      <c r="C172">
        <v>9895134096</v>
      </c>
      <c r="D172" t="s">
        <v>511</v>
      </c>
      <c r="E172" t="s">
        <v>46</v>
      </c>
      <c r="F172" t="s">
        <v>41</v>
      </c>
      <c r="G172" t="s">
        <v>16</v>
      </c>
      <c r="H172" s="1">
        <v>46072</v>
      </c>
      <c r="I172" s="1" t="str">
        <f>TEXT(Lead_Data[[#This Row],[Lead_Date]],"mmmm")</f>
        <v>February</v>
      </c>
      <c r="J172">
        <f ca="1">TODAY()-Lead_Data[[#This Row],[Lead_Date]]</f>
        <v>130</v>
      </c>
      <c r="K172" t="s">
        <v>35</v>
      </c>
      <c r="L172">
        <v>69241</v>
      </c>
      <c r="M172" t="str">
        <f>IF(Lead_Data[[#This Row],[Potential_Value]]&gt;100000,"High","Low")</f>
        <v>Low</v>
      </c>
      <c r="N172" t="s">
        <v>50</v>
      </c>
    </row>
    <row r="173" spans="1:14" x14ac:dyDescent="0.3">
      <c r="A173" t="s">
        <v>512</v>
      </c>
      <c r="B173" t="s">
        <v>505</v>
      </c>
      <c r="C173">
        <v>9572827436</v>
      </c>
      <c r="D173" t="s">
        <v>513</v>
      </c>
      <c r="E173" t="s">
        <v>40</v>
      </c>
      <c r="F173" t="s">
        <v>41</v>
      </c>
      <c r="G173" t="s">
        <v>93</v>
      </c>
      <c r="H173" s="1">
        <v>46098</v>
      </c>
      <c r="I173" s="1" t="str">
        <f>TEXT(Lead_Data[[#This Row],[Lead_Date]],"mmmm")</f>
        <v>March</v>
      </c>
      <c r="J173">
        <f ca="1">TODAY()-Lead_Data[[#This Row],[Lead_Date]]</f>
        <v>104</v>
      </c>
      <c r="K173" t="s">
        <v>24</v>
      </c>
      <c r="L173">
        <v>102994</v>
      </c>
      <c r="M173" t="str">
        <f>IF(Lead_Data[[#This Row],[Potential_Value]]&gt;100000,"High","Low")</f>
        <v>High</v>
      </c>
      <c r="N173" t="s">
        <v>50</v>
      </c>
    </row>
    <row r="174" spans="1:14" x14ac:dyDescent="0.3">
      <c r="A174" t="s">
        <v>514</v>
      </c>
      <c r="B174" t="s">
        <v>480</v>
      </c>
      <c r="C174">
        <v>9667190773</v>
      </c>
      <c r="D174" t="s">
        <v>515</v>
      </c>
      <c r="E174" t="s">
        <v>59</v>
      </c>
      <c r="F174" t="s">
        <v>29</v>
      </c>
      <c r="G174" t="s">
        <v>30</v>
      </c>
      <c r="H174" s="1">
        <v>46196</v>
      </c>
      <c r="I174" s="1" t="str">
        <f>TEXT(Lead_Data[[#This Row],[Lead_Date]],"mmmm")</f>
        <v>June</v>
      </c>
      <c r="J174">
        <f ca="1">TODAY()-Lead_Data[[#This Row],[Lead_Date]]</f>
        <v>6</v>
      </c>
      <c r="K174" t="s">
        <v>35</v>
      </c>
      <c r="L174">
        <v>219430</v>
      </c>
      <c r="M174" t="str">
        <f>IF(Lead_Data[[#This Row],[Potential_Value]]&gt;100000,"High","Low")</f>
        <v>High</v>
      </c>
      <c r="N174" t="s">
        <v>83</v>
      </c>
    </row>
    <row r="175" spans="1:14" x14ac:dyDescent="0.3">
      <c r="A175" t="s">
        <v>516</v>
      </c>
      <c r="B175" t="s">
        <v>517</v>
      </c>
      <c r="C175">
        <v>9652992691</v>
      </c>
      <c r="D175" t="s">
        <v>518</v>
      </c>
      <c r="E175" t="s">
        <v>46</v>
      </c>
      <c r="F175" t="s">
        <v>29</v>
      </c>
      <c r="G175" t="s">
        <v>16</v>
      </c>
      <c r="H175" s="1">
        <v>46145</v>
      </c>
      <c r="I175" s="1" t="str">
        <f>TEXT(Lead_Data[[#This Row],[Lead_Date]],"mmmm")</f>
        <v>May</v>
      </c>
      <c r="J175">
        <f ca="1">TODAY()-Lead_Data[[#This Row],[Lead_Date]]</f>
        <v>57</v>
      </c>
      <c r="K175" t="s">
        <v>35</v>
      </c>
      <c r="L175">
        <v>32392</v>
      </c>
      <c r="M175" t="str">
        <f>IF(Lead_Data[[#This Row],[Potential_Value]]&gt;100000,"High","Low")</f>
        <v>Low</v>
      </c>
      <c r="N175" t="s">
        <v>83</v>
      </c>
    </row>
    <row r="176" spans="1:14" x14ac:dyDescent="0.3">
      <c r="A176" t="s">
        <v>519</v>
      </c>
      <c r="B176" t="s">
        <v>520</v>
      </c>
      <c r="C176">
        <v>9517658849</v>
      </c>
      <c r="D176" t="s">
        <v>521</v>
      </c>
      <c r="E176" t="s">
        <v>28</v>
      </c>
      <c r="F176" t="s">
        <v>15</v>
      </c>
      <c r="G176" t="s">
        <v>93</v>
      </c>
      <c r="H176" s="1">
        <v>46044</v>
      </c>
      <c r="I176" s="1" t="str">
        <f>TEXT(Lead_Data[[#This Row],[Lead_Date]],"mmmm")</f>
        <v>January</v>
      </c>
      <c r="J176">
        <f ca="1">TODAY()-Lead_Data[[#This Row],[Lead_Date]]</f>
        <v>158</v>
      </c>
      <c r="K176" t="s">
        <v>42</v>
      </c>
      <c r="L176">
        <v>227927</v>
      </c>
      <c r="M176" t="str">
        <f>IF(Lead_Data[[#This Row],[Potential_Value]]&gt;100000,"High","Low")</f>
        <v>High</v>
      </c>
      <c r="N176" t="s">
        <v>83</v>
      </c>
    </row>
    <row r="177" spans="1:14" x14ac:dyDescent="0.3">
      <c r="A177" t="s">
        <v>522</v>
      </c>
      <c r="B177" t="s">
        <v>523</v>
      </c>
      <c r="C177">
        <v>9838152097</v>
      </c>
      <c r="D177" t="s">
        <v>524</v>
      </c>
      <c r="E177" t="s">
        <v>54</v>
      </c>
      <c r="F177" t="s">
        <v>15</v>
      </c>
      <c r="G177" t="s">
        <v>16</v>
      </c>
      <c r="H177" s="1">
        <v>46041</v>
      </c>
      <c r="I177" s="1" t="str">
        <f>TEXT(Lead_Data[[#This Row],[Lead_Date]],"mmmm")</f>
        <v>January</v>
      </c>
      <c r="J177">
        <f ca="1">TODAY()-Lead_Data[[#This Row],[Lead_Date]]</f>
        <v>161</v>
      </c>
      <c r="K177" t="s">
        <v>17</v>
      </c>
      <c r="L177">
        <v>161646</v>
      </c>
      <c r="M177" t="str">
        <f>IF(Lead_Data[[#This Row],[Potential_Value]]&gt;100000,"High","Low")</f>
        <v>High</v>
      </c>
      <c r="N177" t="s">
        <v>50</v>
      </c>
    </row>
    <row r="178" spans="1:14" x14ac:dyDescent="0.3">
      <c r="A178" t="s">
        <v>525</v>
      </c>
      <c r="B178" t="s">
        <v>81</v>
      </c>
      <c r="C178">
        <v>9556498936</v>
      </c>
      <c r="D178" t="s">
        <v>526</v>
      </c>
      <c r="E178" t="s">
        <v>22</v>
      </c>
      <c r="F178" t="s">
        <v>29</v>
      </c>
      <c r="G178" t="s">
        <v>16</v>
      </c>
      <c r="H178" s="1">
        <v>46062</v>
      </c>
      <c r="I178" s="1" t="str">
        <f>TEXT(Lead_Data[[#This Row],[Lead_Date]],"mmmm")</f>
        <v>February</v>
      </c>
      <c r="J178">
        <f ca="1">TODAY()-Lead_Data[[#This Row],[Lead_Date]]</f>
        <v>140</v>
      </c>
      <c r="K178" t="s">
        <v>31</v>
      </c>
      <c r="L178">
        <v>169780</v>
      </c>
      <c r="M178" t="str">
        <f>IF(Lead_Data[[#This Row],[Potential_Value]]&gt;100000,"High","Low")</f>
        <v>High</v>
      </c>
      <c r="N178" t="s">
        <v>18</v>
      </c>
    </row>
    <row r="179" spans="1:14" x14ac:dyDescent="0.3">
      <c r="A179" t="s">
        <v>527</v>
      </c>
      <c r="B179" t="s">
        <v>528</v>
      </c>
      <c r="C179">
        <v>9395442367</v>
      </c>
      <c r="D179" t="s">
        <v>529</v>
      </c>
      <c r="E179" t="s">
        <v>22</v>
      </c>
      <c r="F179" t="s">
        <v>29</v>
      </c>
      <c r="G179" t="s">
        <v>93</v>
      </c>
      <c r="H179" s="1">
        <v>46099</v>
      </c>
      <c r="I179" s="1" t="str">
        <f>TEXT(Lead_Data[[#This Row],[Lead_Date]],"mmmm")</f>
        <v>March</v>
      </c>
      <c r="J179">
        <f ca="1">TODAY()-Lead_Data[[#This Row],[Lead_Date]]</f>
        <v>103</v>
      </c>
      <c r="K179" t="s">
        <v>42</v>
      </c>
      <c r="L179">
        <v>30608</v>
      </c>
      <c r="M179" t="str">
        <f>IF(Lead_Data[[#This Row],[Potential_Value]]&gt;100000,"High","Low")</f>
        <v>Low</v>
      </c>
      <c r="N179" t="s">
        <v>55</v>
      </c>
    </row>
    <row r="180" spans="1:14" x14ac:dyDescent="0.3">
      <c r="A180" t="s">
        <v>530</v>
      </c>
      <c r="B180" t="s">
        <v>531</v>
      </c>
      <c r="C180">
        <v>9666242348</v>
      </c>
      <c r="D180" t="s">
        <v>532</v>
      </c>
      <c r="E180" t="s">
        <v>59</v>
      </c>
      <c r="F180" t="s">
        <v>29</v>
      </c>
      <c r="G180" t="s">
        <v>48</v>
      </c>
      <c r="H180" s="1">
        <v>46082</v>
      </c>
      <c r="I180" s="1" t="str">
        <f>TEXT(Lead_Data[[#This Row],[Lead_Date]],"mmmm")</f>
        <v>March</v>
      </c>
      <c r="J180">
        <f ca="1">TODAY()-Lead_Data[[#This Row],[Lead_Date]]</f>
        <v>120</v>
      </c>
      <c r="K180" t="s">
        <v>42</v>
      </c>
      <c r="L180">
        <v>25323</v>
      </c>
      <c r="M180" t="str">
        <f>IF(Lead_Data[[#This Row],[Potential_Value]]&gt;100000,"High","Low")</f>
        <v>Low</v>
      </c>
      <c r="N180" t="s">
        <v>55</v>
      </c>
    </row>
    <row r="181" spans="1:14" x14ac:dyDescent="0.3">
      <c r="A181" t="s">
        <v>533</v>
      </c>
      <c r="B181" t="s">
        <v>534</v>
      </c>
      <c r="C181">
        <v>9543093610</v>
      </c>
      <c r="D181" t="s">
        <v>535</v>
      </c>
      <c r="E181" t="s">
        <v>59</v>
      </c>
      <c r="F181" t="s">
        <v>47</v>
      </c>
      <c r="G181" t="s">
        <v>16</v>
      </c>
      <c r="H181" s="1">
        <v>46150</v>
      </c>
      <c r="I181" s="1" t="str">
        <f>TEXT(Lead_Data[[#This Row],[Lead_Date]],"mmmm")</f>
        <v>May</v>
      </c>
      <c r="J181">
        <f ca="1">TODAY()-Lead_Data[[#This Row],[Lead_Date]]</f>
        <v>52</v>
      </c>
      <c r="K181" t="s">
        <v>35</v>
      </c>
      <c r="L181">
        <v>11731</v>
      </c>
      <c r="M181" t="str">
        <f>IF(Lead_Data[[#This Row],[Potential_Value]]&gt;100000,"High","Low")</f>
        <v>Low</v>
      </c>
      <c r="N181" t="s">
        <v>50</v>
      </c>
    </row>
    <row r="182" spans="1:14" x14ac:dyDescent="0.3">
      <c r="A182" t="s">
        <v>536</v>
      </c>
      <c r="B182" t="s">
        <v>537</v>
      </c>
      <c r="C182">
        <v>9376787613</v>
      </c>
      <c r="D182" t="s">
        <v>538</v>
      </c>
      <c r="E182" t="s">
        <v>54</v>
      </c>
      <c r="F182" t="s">
        <v>60</v>
      </c>
      <c r="G182" t="s">
        <v>48</v>
      </c>
      <c r="H182" s="1">
        <v>46193</v>
      </c>
      <c r="I182" s="1" t="str">
        <f>TEXT(Lead_Data[[#This Row],[Lead_Date]],"mmmm")</f>
        <v>June</v>
      </c>
      <c r="J182">
        <f ca="1">TODAY()-Lead_Data[[#This Row],[Lead_Date]]</f>
        <v>9</v>
      </c>
      <c r="K182" t="s">
        <v>49</v>
      </c>
      <c r="L182">
        <v>121624</v>
      </c>
      <c r="M182" t="str">
        <f>IF(Lead_Data[[#This Row],[Potential_Value]]&gt;100000,"High","Low")</f>
        <v>High</v>
      </c>
      <c r="N182" t="s">
        <v>55</v>
      </c>
    </row>
    <row r="183" spans="1:14" x14ac:dyDescent="0.3">
      <c r="A183" t="s">
        <v>539</v>
      </c>
      <c r="B183" t="s">
        <v>540</v>
      </c>
      <c r="C183">
        <v>9695379403</v>
      </c>
      <c r="D183" t="s">
        <v>541</v>
      </c>
      <c r="E183" t="s">
        <v>208</v>
      </c>
      <c r="F183" t="s">
        <v>23</v>
      </c>
      <c r="G183" t="s">
        <v>16</v>
      </c>
      <c r="H183" s="1">
        <v>46188</v>
      </c>
      <c r="I183" s="1" t="str">
        <f>TEXT(Lead_Data[[#This Row],[Lead_Date]],"mmmm")</f>
        <v>June</v>
      </c>
      <c r="J183">
        <f ca="1">TODAY()-Lead_Data[[#This Row],[Lead_Date]]</f>
        <v>14</v>
      </c>
      <c r="K183" t="s">
        <v>17</v>
      </c>
      <c r="L183">
        <v>188936</v>
      </c>
      <c r="M183" t="str">
        <f>IF(Lead_Data[[#This Row],[Potential_Value]]&gt;100000,"High","Low")</f>
        <v>High</v>
      </c>
      <c r="N183" t="s">
        <v>83</v>
      </c>
    </row>
    <row r="184" spans="1:14" x14ac:dyDescent="0.3">
      <c r="A184" t="s">
        <v>542</v>
      </c>
      <c r="B184" t="s">
        <v>531</v>
      </c>
      <c r="C184">
        <v>9529393035</v>
      </c>
      <c r="D184" t="s">
        <v>543</v>
      </c>
      <c r="E184" t="s">
        <v>22</v>
      </c>
      <c r="F184" t="s">
        <v>41</v>
      </c>
      <c r="G184" t="s">
        <v>48</v>
      </c>
      <c r="H184" s="1">
        <v>46031</v>
      </c>
      <c r="I184" s="1" t="str">
        <f>TEXT(Lead_Data[[#This Row],[Lead_Date]],"mmmm")</f>
        <v>January</v>
      </c>
      <c r="J184">
        <f ca="1">TODAY()-Lead_Data[[#This Row],[Lead_Date]]</f>
        <v>171</v>
      </c>
      <c r="K184" t="s">
        <v>35</v>
      </c>
      <c r="L184">
        <v>43266</v>
      </c>
      <c r="M184" t="str">
        <f>IF(Lead_Data[[#This Row],[Potential_Value]]&gt;100000,"High","Low")</f>
        <v>Low</v>
      </c>
      <c r="N184" t="s">
        <v>83</v>
      </c>
    </row>
    <row r="185" spans="1:14" x14ac:dyDescent="0.3">
      <c r="A185" t="s">
        <v>544</v>
      </c>
      <c r="B185" t="s">
        <v>545</v>
      </c>
      <c r="C185">
        <v>9655810041</v>
      </c>
      <c r="D185" t="s">
        <v>546</v>
      </c>
      <c r="E185" t="s">
        <v>40</v>
      </c>
      <c r="F185" t="s">
        <v>47</v>
      </c>
      <c r="G185" t="s">
        <v>93</v>
      </c>
      <c r="H185" s="1">
        <v>46144</v>
      </c>
      <c r="I185" s="1" t="str">
        <f>TEXT(Lead_Data[[#This Row],[Lead_Date]],"mmmm")</f>
        <v>May</v>
      </c>
      <c r="J185">
        <f ca="1">TODAY()-Lead_Data[[#This Row],[Lead_Date]]</f>
        <v>58</v>
      </c>
      <c r="K185" t="s">
        <v>49</v>
      </c>
      <c r="L185">
        <v>124082</v>
      </c>
      <c r="M185" t="str">
        <f>IF(Lead_Data[[#This Row],[Potential_Value]]&gt;100000,"High","Low")</f>
        <v>High</v>
      </c>
      <c r="N185" t="s">
        <v>83</v>
      </c>
    </row>
    <row r="186" spans="1:14" x14ac:dyDescent="0.3">
      <c r="A186" t="s">
        <v>547</v>
      </c>
      <c r="B186" t="s">
        <v>349</v>
      </c>
      <c r="C186">
        <v>9848808820</v>
      </c>
      <c r="D186" t="s">
        <v>548</v>
      </c>
      <c r="E186" t="s">
        <v>65</v>
      </c>
      <c r="F186" t="s">
        <v>60</v>
      </c>
      <c r="G186" t="s">
        <v>48</v>
      </c>
      <c r="H186" s="1">
        <v>46097</v>
      </c>
      <c r="I186" s="1" t="str">
        <f>TEXT(Lead_Data[[#This Row],[Lead_Date]],"mmmm")</f>
        <v>March</v>
      </c>
      <c r="J186">
        <f ca="1">TODAY()-Lead_Data[[#This Row],[Lead_Date]]</f>
        <v>105</v>
      </c>
      <c r="K186" t="s">
        <v>24</v>
      </c>
      <c r="L186">
        <v>97483</v>
      </c>
      <c r="M186" t="str">
        <f>IF(Lead_Data[[#This Row],[Potential_Value]]&gt;100000,"High","Low")</f>
        <v>Low</v>
      </c>
      <c r="N186" t="s">
        <v>18</v>
      </c>
    </row>
    <row r="187" spans="1:14" x14ac:dyDescent="0.3">
      <c r="A187" t="s">
        <v>549</v>
      </c>
      <c r="B187" t="s">
        <v>550</v>
      </c>
      <c r="C187">
        <v>9637317535</v>
      </c>
      <c r="D187" t="s">
        <v>551</v>
      </c>
      <c r="E187" t="s">
        <v>46</v>
      </c>
      <c r="F187" t="s">
        <v>60</v>
      </c>
      <c r="G187" t="s">
        <v>30</v>
      </c>
      <c r="H187" s="1">
        <v>46190</v>
      </c>
      <c r="I187" s="1" t="str">
        <f>TEXT(Lead_Data[[#This Row],[Lead_Date]],"mmmm")</f>
        <v>June</v>
      </c>
      <c r="J187">
        <f ca="1">TODAY()-Lead_Data[[#This Row],[Lead_Date]]</f>
        <v>12</v>
      </c>
      <c r="K187" t="s">
        <v>49</v>
      </c>
      <c r="L187">
        <v>60412</v>
      </c>
      <c r="M187" t="str">
        <f>IF(Lead_Data[[#This Row],[Potential_Value]]&gt;100000,"High","Low")</f>
        <v>Low</v>
      </c>
      <c r="N187" t="s">
        <v>83</v>
      </c>
    </row>
    <row r="188" spans="1:14" x14ac:dyDescent="0.3">
      <c r="A188" t="s">
        <v>552</v>
      </c>
      <c r="B188" t="s">
        <v>275</v>
      </c>
      <c r="C188">
        <v>9815375567</v>
      </c>
      <c r="D188" t="s">
        <v>553</v>
      </c>
      <c r="E188" t="s">
        <v>40</v>
      </c>
      <c r="F188" t="s">
        <v>29</v>
      </c>
      <c r="G188" t="s">
        <v>16</v>
      </c>
      <c r="H188" s="1">
        <v>46125</v>
      </c>
      <c r="I188" s="1" t="str">
        <f>TEXT(Lead_Data[[#This Row],[Lead_Date]],"mmmm")</f>
        <v>April</v>
      </c>
      <c r="J188">
        <f ca="1">TODAY()-Lead_Data[[#This Row],[Lead_Date]]</f>
        <v>77</v>
      </c>
      <c r="K188" t="s">
        <v>42</v>
      </c>
      <c r="L188">
        <v>23028</v>
      </c>
      <c r="M188" t="str">
        <f>IF(Lead_Data[[#This Row],[Potential_Value]]&gt;100000,"High","Low")</f>
        <v>Low</v>
      </c>
      <c r="N188" t="s">
        <v>55</v>
      </c>
    </row>
    <row r="189" spans="1:14" x14ac:dyDescent="0.3">
      <c r="A189" t="s">
        <v>554</v>
      </c>
      <c r="B189" t="s">
        <v>555</v>
      </c>
      <c r="C189">
        <v>9835493421</v>
      </c>
      <c r="D189" t="s">
        <v>556</v>
      </c>
      <c r="E189" t="s">
        <v>28</v>
      </c>
      <c r="F189" t="s">
        <v>60</v>
      </c>
      <c r="G189" t="s">
        <v>30</v>
      </c>
      <c r="H189" s="1">
        <v>46144</v>
      </c>
      <c r="I189" s="1" t="str">
        <f>TEXT(Lead_Data[[#This Row],[Lead_Date]],"mmmm")</f>
        <v>May</v>
      </c>
      <c r="J189">
        <f ca="1">TODAY()-Lead_Data[[#This Row],[Lead_Date]]</f>
        <v>58</v>
      </c>
      <c r="K189" t="s">
        <v>42</v>
      </c>
      <c r="L189">
        <v>248504</v>
      </c>
      <c r="M189" t="str">
        <f>IF(Lead_Data[[#This Row],[Potential_Value]]&gt;100000,"High","Low")</f>
        <v>High</v>
      </c>
      <c r="N189" t="s">
        <v>18</v>
      </c>
    </row>
    <row r="190" spans="1:14" x14ac:dyDescent="0.3">
      <c r="A190" t="s">
        <v>557</v>
      </c>
      <c r="B190" t="s">
        <v>98</v>
      </c>
      <c r="C190">
        <v>9794129586</v>
      </c>
      <c r="D190" t="s">
        <v>558</v>
      </c>
      <c r="E190" t="s">
        <v>28</v>
      </c>
      <c r="F190" t="s">
        <v>41</v>
      </c>
      <c r="G190" t="s">
        <v>30</v>
      </c>
      <c r="H190" s="1">
        <v>46195</v>
      </c>
      <c r="I190" s="1" t="str">
        <f>TEXT(Lead_Data[[#This Row],[Lead_Date]],"mmmm")</f>
        <v>June</v>
      </c>
      <c r="J190">
        <f ca="1">TODAY()-Lead_Data[[#This Row],[Lead_Date]]</f>
        <v>7</v>
      </c>
      <c r="K190" t="s">
        <v>31</v>
      </c>
      <c r="L190">
        <v>20347</v>
      </c>
      <c r="M190" t="str">
        <f>IF(Lead_Data[[#This Row],[Potential_Value]]&gt;100000,"High","Low")</f>
        <v>Low</v>
      </c>
      <c r="N190" t="s">
        <v>55</v>
      </c>
    </row>
    <row r="191" spans="1:14" x14ac:dyDescent="0.3">
      <c r="A191" t="s">
        <v>559</v>
      </c>
      <c r="B191" t="s">
        <v>560</v>
      </c>
      <c r="C191">
        <v>9714963055</v>
      </c>
      <c r="D191" t="s">
        <v>561</v>
      </c>
      <c r="E191" t="s">
        <v>14</v>
      </c>
      <c r="F191" t="s">
        <v>41</v>
      </c>
      <c r="G191" t="s">
        <v>30</v>
      </c>
      <c r="H191" s="1">
        <v>46130</v>
      </c>
      <c r="I191" s="1" t="str">
        <f>TEXT(Lead_Data[[#This Row],[Lead_Date]],"mmmm")</f>
        <v>April</v>
      </c>
      <c r="J191">
        <f ca="1">TODAY()-Lead_Data[[#This Row],[Lead_Date]]</f>
        <v>72</v>
      </c>
      <c r="K191" t="s">
        <v>49</v>
      </c>
      <c r="L191">
        <v>238569</v>
      </c>
      <c r="M191" t="str">
        <f>IF(Lead_Data[[#This Row],[Potential_Value]]&gt;100000,"High","Low")</f>
        <v>High</v>
      </c>
      <c r="N191" t="s">
        <v>50</v>
      </c>
    </row>
    <row r="192" spans="1:14" x14ac:dyDescent="0.3">
      <c r="A192" t="s">
        <v>562</v>
      </c>
      <c r="B192" t="s">
        <v>563</v>
      </c>
      <c r="C192">
        <v>9650539173</v>
      </c>
      <c r="D192" t="s">
        <v>564</v>
      </c>
      <c r="E192" t="s">
        <v>76</v>
      </c>
      <c r="F192" t="s">
        <v>23</v>
      </c>
      <c r="G192" t="s">
        <v>61</v>
      </c>
      <c r="H192" s="1">
        <v>46070</v>
      </c>
      <c r="I192" s="1" t="str">
        <f>TEXT(Lead_Data[[#This Row],[Lead_Date]],"mmmm")</f>
        <v>February</v>
      </c>
      <c r="J192">
        <f ca="1">TODAY()-Lead_Data[[#This Row],[Lead_Date]]</f>
        <v>132</v>
      </c>
      <c r="K192" t="s">
        <v>17</v>
      </c>
      <c r="L192">
        <v>122898</v>
      </c>
      <c r="M192" t="str">
        <f>IF(Lead_Data[[#This Row],[Potential_Value]]&gt;100000,"High","Low")</f>
        <v>High</v>
      </c>
      <c r="N192" t="s">
        <v>18</v>
      </c>
    </row>
    <row r="193" spans="1:14" x14ac:dyDescent="0.3">
      <c r="A193" t="s">
        <v>565</v>
      </c>
      <c r="B193" t="s">
        <v>566</v>
      </c>
      <c r="C193">
        <v>9876808897</v>
      </c>
      <c r="D193" t="s">
        <v>567</v>
      </c>
      <c r="E193" t="s">
        <v>40</v>
      </c>
      <c r="F193" t="s">
        <v>23</v>
      </c>
      <c r="G193" t="s">
        <v>30</v>
      </c>
      <c r="H193" s="1">
        <v>46168</v>
      </c>
      <c r="I193" s="1" t="str">
        <f>TEXT(Lead_Data[[#This Row],[Lead_Date]],"mmmm")</f>
        <v>May</v>
      </c>
      <c r="J193">
        <f ca="1">TODAY()-Lead_Data[[#This Row],[Lead_Date]]</f>
        <v>34</v>
      </c>
      <c r="K193" t="s">
        <v>24</v>
      </c>
      <c r="L193">
        <v>160817</v>
      </c>
      <c r="M193" t="str">
        <f>IF(Lead_Data[[#This Row],[Potential_Value]]&gt;100000,"High","Low")</f>
        <v>High</v>
      </c>
      <c r="N193" t="s">
        <v>55</v>
      </c>
    </row>
    <row r="194" spans="1:14" x14ac:dyDescent="0.3">
      <c r="A194" t="s">
        <v>568</v>
      </c>
      <c r="B194" t="s">
        <v>67</v>
      </c>
      <c r="C194">
        <v>9589706905</v>
      </c>
      <c r="D194" t="s">
        <v>569</v>
      </c>
      <c r="E194" t="s">
        <v>59</v>
      </c>
      <c r="F194" t="s">
        <v>29</v>
      </c>
      <c r="G194" t="s">
        <v>48</v>
      </c>
      <c r="H194" s="1">
        <v>46174</v>
      </c>
      <c r="I194" s="1" t="str">
        <f>TEXT(Lead_Data[[#This Row],[Lead_Date]],"mmmm")</f>
        <v>June</v>
      </c>
      <c r="J194">
        <f ca="1">TODAY()-Lead_Data[[#This Row],[Lead_Date]]</f>
        <v>28</v>
      </c>
      <c r="K194" t="s">
        <v>42</v>
      </c>
      <c r="L194">
        <v>36750</v>
      </c>
      <c r="M194" t="str">
        <f>IF(Lead_Data[[#This Row],[Potential_Value]]&gt;100000,"High","Low")</f>
        <v>Low</v>
      </c>
      <c r="N194" t="s">
        <v>36</v>
      </c>
    </row>
    <row r="195" spans="1:14" x14ac:dyDescent="0.3">
      <c r="A195" t="s">
        <v>570</v>
      </c>
      <c r="B195" t="s">
        <v>306</v>
      </c>
      <c r="C195">
        <v>9794140421</v>
      </c>
      <c r="D195" t="s">
        <v>571</v>
      </c>
      <c r="E195" t="s">
        <v>76</v>
      </c>
      <c r="F195" t="s">
        <v>23</v>
      </c>
      <c r="G195" t="s">
        <v>30</v>
      </c>
      <c r="H195" s="1">
        <v>46026</v>
      </c>
      <c r="I195" s="1" t="str">
        <f>TEXT(Lead_Data[[#This Row],[Lead_Date]],"mmmm")</f>
        <v>January</v>
      </c>
      <c r="J195">
        <f ca="1">TODAY()-Lead_Data[[#This Row],[Lead_Date]]</f>
        <v>176</v>
      </c>
      <c r="K195" t="s">
        <v>35</v>
      </c>
      <c r="L195">
        <v>185470</v>
      </c>
      <c r="M195" t="str">
        <f>IF(Lead_Data[[#This Row],[Potential_Value]]&gt;100000,"High","Low")</f>
        <v>High</v>
      </c>
      <c r="N195" t="s">
        <v>36</v>
      </c>
    </row>
    <row r="196" spans="1:14" x14ac:dyDescent="0.3">
      <c r="A196" t="s">
        <v>572</v>
      </c>
      <c r="B196" t="s">
        <v>289</v>
      </c>
      <c r="C196">
        <v>9827309857</v>
      </c>
      <c r="D196" t="s">
        <v>573</v>
      </c>
      <c r="E196" t="s">
        <v>208</v>
      </c>
      <c r="F196" t="s">
        <v>15</v>
      </c>
      <c r="G196" t="s">
        <v>16</v>
      </c>
      <c r="H196" s="1">
        <v>46143</v>
      </c>
      <c r="I196" s="1" t="str">
        <f>TEXT(Lead_Data[[#This Row],[Lead_Date]],"mmmm")</f>
        <v>May</v>
      </c>
      <c r="J196">
        <f ca="1">TODAY()-Lead_Data[[#This Row],[Lead_Date]]</f>
        <v>59</v>
      </c>
      <c r="K196" t="s">
        <v>31</v>
      </c>
      <c r="L196">
        <v>128168</v>
      </c>
      <c r="M196" t="str">
        <f>IF(Lead_Data[[#This Row],[Potential_Value]]&gt;100000,"High","Low")</f>
        <v>High</v>
      </c>
      <c r="N196" t="s">
        <v>50</v>
      </c>
    </row>
    <row r="197" spans="1:14" x14ac:dyDescent="0.3">
      <c r="A197" t="s">
        <v>574</v>
      </c>
      <c r="B197" t="s">
        <v>575</v>
      </c>
      <c r="C197">
        <v>9721313160</v>
      </c>
      <c r="D197" t="s">
        <v>576</v>
      </c>
      <c r="E197" t="s">
        <v>40</v>
      </c>
      <c r="F197" t="s">
        <v>41</v>
      </c>
      <c r="G197" t="s">
        <v>48</v>
      </c>
      <c r="H197" s="1">
        <v>46098</v>
      </c>
      <c r="I197" s="1" t="str">
        <f>TEXT(Lead_Data[[#This Row],[Lead_Date]],"mmmm")</f>
        <v>March</v>
      </c>
      <c r="J197">
        <f ca="1">TODAY()-Lead_Data[[#This Row],[Lead_Date]]</f>
        <v>104</v>
      </c>
      <c r="K197" t="s">
        <v>24</v>
      </c>
      <c r="L197">
        <v>185516</v>
      </c>
      <c r="M197" t="str">
        <f>IF(Lead_Data[[#This Row],[Potential_Value]]&gt;100000,"High","Low")</f>
        <v>High</v>
      </c>
      <c r="N197" t="s">
        <v>83</v>
      </c>
    </row>
    <row r="198" spans="1:14" x14ac:dyDescent="0.3">
      <c r="A198" t="s">
        <v>577</v>
      </c>
      <c r="B198" t="s">
        <v>578</v>
      </c>
      <c r="C198">
        <v>9818127013</v>
      </c>
      <c r="D198" t="s">
        <v>579</v>
      </c>
      <c r="E198" t="s">
        <v>28</v>
      </c>
      <c r="F198" t="s">
        <v>23</v>
      </c>
      <c r="G198" t="s">
        <v>48</v>
      </c>
      <c r="H198" s="1">
        <v>46026</v>
      </c>
      <c r="I198" s="1" t="str">
        <f>TEXT(Lead_Data[[#This Row],[Lead_Date]],"mmmm")</f>
        <v>January</v>
      </c>
      <c r="J198">
        <f ca="1">TODAY()-Lead_Data[[#This Row],[Lead_Date]]</f>
        <v>176</v>
      </c>
      <c r="K198" t="s">
        <v>49</v>
      </c>
      <c r="L198">
        <v>91918</v>
      </c>
      <c r="M198" t="str">
        <f>IF(Lead_Data[[#This Row],[Potential_Value]]&gt;100000,"High","Low")</f>
        <v>Low</v>
      </c>
      <c r="N198" t="s">
        <v>18</v>
      </c>
    </row>
    <row r="199" spans="1:14" x14ac:dyDescent="0.3">
      <c r="A199" t="s">
        <v>580</v>
      </c>
      <c r="B199" t="s">
        <v>581</v>
      </c>
      <c r="C199">
        <v>9591731644</v>
      </c>
      <c r="D199" t="s">
        <v>582</v>
      </c>
      <c r="E199" t="s">
        <v>65</v>
      </c>
      <c r="F199" t="s">
        <v>15</v>
      </c>
      <c r="G199" t="s">
        <v>16</v>
      </c>
      <c r="H199" s="1">
        <v>46038</v>
      </c>
      <c r="I199" s="1" t="str">
        <f>TEXT(Lead_Data[[#This Row],[Lead_Date]],"mmmm")</f>
        <v>January</v>
      </c>
      <c r="J199">
        <f ca="1">TODAY()-Lead_Data[[#This Row],[Lead_Date]]</f>
        <v>164</v>
      </c>
      <c r="K199" t="s">
        <v>35</v>
      </c>
      <c r="L199">
        <v>125008</v>
      </c>
      <c r="M199" t="str">
        <f>IF(Lead_Data[[#This Row],[Potential_Value]]&gt;100000,"High","Low")</f>
        <v>High</v>
      </c>
      <c r="N199" t="s">
        <v>55</v>
      </c>
    </row>
    <row r="200" spans="1:14" x14ac:dyDescent="0.3">
      <c r="A200" t="s">
        <v>583</v>
      </c>
      <c r="B200" t="s">
        <v>123</v>
      </c>
      <c r="C200">
        <v>9858756682</v>
      </c>
      <c r="D200" t="s">
        <v>584</v>
      </c>
      <c r="E200" t="s">
        <v>59</v>
      </c>
      <c r="F200" t="s">
        <v>41</v>
      </c>
      <c r="G200" t="s">
        <v>48</v>
      </c>
      <c r="H200" s="1">
        <v>46188</v>
      </c>
      <c r="I200" s="1" t="str">
        <f>TEXT(Lead_Data[[#This Row],[Lead_Date]],"mmmm")</f>
        <v>June</v>
      </c>
      <c r="J200">
        <f ca="1">TODAY()-Lead_Data[[#This Row],[Lead_Date]]</f>
        <v>14</v>
      </c>
      <c r="K200" t="s">
        <v>24</v>
      </c>
      <c r="L200">
        <v>111118</v>
      </c>
      <c r="M200" t="str">
        <f>IF(Lead_Data[[#This Row],[Potential_Value]]&gt;100000,"High","Low")</f>
        <v>High</v>
      </c>
      <c r="N200" t="s">
        <v>55</v>
      </c>
    </row>
    <row r="201" spans="1:14" x14ac:dyDescent="0.3">
      <c r="A201" t="s">
        <v>585</v>
      </c>
      <c r="B201" t="s">
        <v>213</v>
      </c>
      <c r="C201">
        <v>9354813359</v>
      </c>
      <c r="D201" t="s">
        <v>586</v>
      </c>
      <c r="E201" t="s">
        <v>54</v>
      </c>
      <c r="F201" t="s">
        <v>23</v>
      </c>
      <c r="G201" t="s">
        <v>16</v>
      </c>
      <c r="H201" s="1">
        <v>46097</v>
      </c>
      <c r="I201" s="1" t="str">
        <f>TEXT(Lead_Data[[#This Row],[Lead_Date]],"mmmm")</f>
        <v>March</v>
      </c>
      <c r="J201">
        <f ca="1">TODAY()-Lead_Data[[#This Row],[Lead_Date]]</f>
        <v>105</v>
      </c>
      <c r="K201" t="s">
        <v>35</v>
      </c>
      <c r="L201">
        <v>194356</v>
      </c>
      <c r="M201" t="str">
        <f>IF(Lead_Data[[#This Row],[Potential_Value]]&gt;100000,"High","Low")</f>
        <v>High</v>
      </c>
      <c r="N201" t="s">
        <v>18</v>
      </c>
    </row>
    <row r="202" spans="1:14" x14ac:dyDescent="0.3">
      <c r="A202" t="s">
        <v>587</v>
      </c>
      <c r="B202" t="s">
        <v>588</v>
      </c>
      <c r="C202">
        <v>9830283041</v>
      </c>
      <c r="D202" t="s">
        <v>589</v>
      </c>
      <c r="E202" t="s">
        <v>54</v>
      </c>
      <c r="F202" t="s">
        <v>47</v>
      </c>
      <c r="G202" t="s">
        <v>48</v>
      </c>
      <c r="H202" s="1">
        <v>46176</v>
      </c>
      <c r="I202" s="1" t="str">
        <f>TEXT(Lead_Data[[#This Row],[Lead_Date]],"mmmm")</f>
        <v>June</v>
      </c>
      <c r="J202">
        <f ca="1">TODAY()-Lead_Data[[#This Row],[Lead_Date]]</f>
        <v>26</v>
      </c>
      <c r="K202" t="s">
        <v>31</v>
      </c>
      <c r="L202">
        <v>108743</v>
      </c>
      <c r="M202" t="str">
        <f>IF(Lead_Data[[#This Row],[Potential_Value]]&gt;100000,"High","Low")</f>
        <v>High</v>
      </c>
      <c r="N202" t="s">
        <v>55</v>
      </c>
    </row>
    <row r="203" spans="1:14" x14ac:dyDescent="0.3">
      <c r="A203" t="s">
        <v>590</v>
      </c>
      <c r="B203" t="s">
        <v>591</v>
      </c>
      <c r="C203">
        <v>9770568363</v>
      </c>
      <c r="D203" t="s">
        <v>592</v>
      </c>
      <c r="E203" t="s">
        <v>208</v>
      </c>
      <c r="F203" t="s">
        <v>15</v>
      </c>
      <c r="G203" t="s">
        <v>61</v>
      </c>
      <c r="H203" s="1">
        <v>46095</v>
      </c>
      <c r="I203" s="1" t="str">
        <f>TEXT(Lead_Data[[#This Row],[Lead_Date]],"mmmm")</f>
        <v>March</v>
      </c>
      <c r="J203">
        <f ca="1">TODAY()-Lead_Data[[#This Row],[Lead_Date]]</f>
        <v>107</v>
      </c>
      <c r="K203" t="s">
        <v>49</v>
      </c>
      <c r="L203">
        <v>120755</v>
      </c>
      <c r="M203" t="str">
        <f>IF(Lead_Data[[#This Row],[Potential_Value]]&gt;100000,"High","Low")</f>
        <v>High</v>
      </c>
      <c r="N203" t="s">
        <v>50</v>
      </c>
    </row>
    <row r="204" spans="1:14" x14ac:dyDescent="0.3">
      <c r="A204" t="s">
        <v>593</v>
      </c>
      <c r="B204" t="s">
        <v>566</v>
      </c>
      <c r="C204">
        <v>9848724692</v>
      </c>
      <c r="D204" t="s">
        <v>594</v>
      </c>
      <c r="E204" t="s">
        <v>28</v>
      </c>
      <c r="F204" t="s">
        <v>72</v>
      </c>
      <c r="G204" t="s">
        <v>61</v>
      </c>
      <c r="H204" s="1">
        <v>46059</v>
      </c>
      <c r="I204" s="1" t="str">
        <f>TEXT(Lead_Data[[#This Row],[Lead_Date]],"mmmm")</f>
        <v>February</v>
      </c>
      <c r="J204">
        <f ca="1">TODAY()-Lead_Data[[#This Row],[Lead_Date]]</f>
        <v>143</v>
      </c>
      <c r="K204" t="s">
        <v>42</v>
      </c>
      <c r="L204">
        <v>189473</v>
      </c>
      <c r="M204" t="str">
        <f>IF(Lead_Data[[#This Row],[Potential_Value]]&gt;100000,"High","Low")</f>
        <v>High</v>
      </c>
      <c r="N204" t="s">
        <v>55</v>
      </c>
    </row>
    <row r="205" spans="1:14" x14ac:dyDescent="0.3">
      <c r="A205" t="s">
        <v>595</v>
      </c>
      <c r="B205" t="s">
        <v>596</v>
      </c>
      <c r="C205">
        <v>9384312914</v>
      </c>
      <c r="D205" t="s">
        <v>597</v>
      </c>
      <c r="E205" t="s">
        <v>76</v>
      </c>
      <c r="F205" t="s">
        <v>72</v>
      </c>
      <c r="G205" t="s">
        <v>93</v>
      </c>
      <c r="H205" s="1">
        <v>46147</v>
      </c>
      <c r="I205" s="1" t="str">
        <f>TEXT(Lead_Data[[#This Row],[Lead_Date]],"mmmm")</f>
        <v>May</v>
      </c>
      <c r="J205">
        <f ca="1">TODAY()-Lead_Data[[#This Row],[Lead_Date]]</f>
        <v>55</v>
      </c>
      <c r="K205" t="s">
        <v>49</v>
      </c>
      <c r="L205">
        <v>169094</v>
      </c>
      <c r="M205" t="str">
        <f>IF(Lead_Data[[#This Row],[Potential_Value]]&gt;100000,"High","Low")</f>
        <v>High</v>
      </c>
      <c r="N205" t="s">
        <v>36</v>
      </c>
    </row>
    <row r="206" spans="1:14" x14ac:dyDescent="0.3">
      <c r="A206" t="s">
        <v>598</v>
      </c>
      <c r="B206" t="s">
        <v>599</v>
      </c>
      <c r="C206">
        <v>9744189901</v>
      </c>
      <c r="D206" t="s">
        <v>600</v>
      </c>
      <c r="E206" t="s">
        <v>208</v>
      </c>
      <c r="F206" t="s">
        <v>60</v>
      </c>
      <c r="G206" t="s">
        <v>48</v>
      </c>
      <c r="H206" s="1">
        <v>46173</v>
      </c>
      <c r="I206" s="1" t="str">
        <f>TEXT(Lead_Data[[#This Row],[Lead_Date]],"mmmm")</f>
        <v>May</v>
      </c>
      <c r="J206">
        <f ca="1">TODAY()-Lead_Data[[#This Row],[Lead_Date]]</f>
        <v>29</v>
      </c>
      <c r="K206" t="s">
        <v>24</v>
      </c>
      <c r="L206">
        <v>151705</v>
      </c>
      <c r="M206" t="str">
        <f>IF(Lead_Data[[#This Row],[Potential_Value]]&gt;100000,"High","Low")</f>
        <v>High</v>
      </c>
      <c r="N206" t="s">
        <v>36</v>
      </c>
    </row>
    <row r="207" spans="1:14" x14ac:dyDescent="0.3">
      <c r="A207" t="s">
        <v>601</v>
      </c>
      <c r="B207" t="s">
        <v>602</v>
      </c>
      <c r="C207">
        <v>9841254803</v>
      </c>
      <c r="D207" t="s">
        <v>603</v>
      </c>
      <c r="E207" t="s">
        <v>28</v>
      </c>
      <c r="F207" t="s">
        <v>47</v>
      </c>
      <c r="G207" t="s">
        <v>61</v>
      </c>
      <c r="H207" s="1">
        <v>46124</v>
      </c>
      <c r="I207" s="1" t="str">
        <f>TEXT(Lead_Data[[#This Row],[Lead_Date]],"mmmm")</f>
        <v>April</v>
      </c>
      <c r="J207">
        <f ca="1">TODAY()-Lead_Data[[#This Row],[Lead_Date]]</f>
        <v>78</v>
      </c>
      <c r="K207" t="s">
        <v>42</v>
      </c>
      <c r="L207">
        <v>94146</v>
      </c>
      <c r="M207" t="str">
        <f>IF(Lead_Data[[#This Row],[Potential_Value]]&gt;100000,"High","Low")</f>
        <v>Low</v>
      </c>
      <c r="N207" t="s">
        <v>55</v>
      </c>
    </row>
    <row r="208" spans="1:14" x14ac:dyDescent="0.3">
      <c r="A208" t="s">
        <v>604</v>
      </c>
      <c r="B208" t="s">
        <v>146</v>
      </c>
      <c r="C208">
        <v>9738547258</v>
      </c>
      <c r="D208" t="s">
        <v>605</v>
      </c>
      <c r="E208" t="s">
        <v>14</v>
      </c>
      <c r="F208" t="s">
        <v>72</v>
      </c>
      <c r="G208" t="s">
        <v>61</v>
      </c>
      <c r="H208" s="1">
        <v>46072</v>
      </c>
      <c r="I208" s="1" t="str">
        <f>TEXT(Lead_Data[[#This Row],[Lead_Date]],"mmmm")</f>
        <v>February</v>
      </c>
      <c r="J208">
        <f ca="1">TODAY()-Lead_Data[[#This Row],[Lead_Date]]</f>
        <v>130</v>
      </c>
      <c r="K208" t="s">
        <v>49</v>
      </c>
      <c r="L208">
        <v>161484</v>
      </c>
      <c r="M208" t="str">
        <f>IF(Lead_Data[[#This Row],[Potential_Value]]&gt;100000,"High","Low")</f>
        <v>High</v>
      </c>
      <c r="N208" t="s">
        <v>18</v>
      </c>
    </row>
    <row r="209" spans="1:14" x14ac:dyDescent="0.3">
      <c r="A209" t="s">
        <v>606</v>
      </c>
      <c r="B209" t="s">
        <v>607</v>
      </c>
      <c r="C209">
        <v>9329999652</v>
      </c>
      <c r="D209" t="s">
        <v>608</v>
      </c>
      <c r="E209" t="s">
        <v>208</v>
      </c>
      <c r="F209" t="s">
        <v>29</v>
      </c>
      <c r="G209" t="s">
        <v>61</v>
      </c>
      <c r="H209" s="1">
        <v>46086</v>
      </c>
      <c r="I209" s="1" t="str">
        <f>TEXT(Lead_Data[[#This Row],[Lead_Date]],"mmmm")</f>
        <v>March</v>
      </c>
      <c r="J209">
        <f ca="1">TODAY()-Lead_Data[[#This Row],[Lead_Date]]</f>
        <v>116</v>
      </c>
      <c r="K209" t="s">
        <v>17</v>
      </c>
      <c r="L209">
        <v>107430</v>
      </c>
      <c r="M209" t="str">
        <f>IF(Lead_Data[[#This Row],[Potential_Value]]&gt;100000,"High","Low")</f>
        <v>High</v>
      </c>
      <c r="N209" t="s">
        <v>55</v>
      </c>
    </row>
    <row r="210" spans="1:14" x14ac:dyDescent="0.3">
      <c r="A210" t="s">
        <v>609</v>
      </c>
      <c r="B210" t="s">
        <v>540</v>
      </c>
      <c r="C210">
        <v>9314074687</v>
      </c>
      <c r="D210" t="s">
        <v>610</v>
      </c>
      <c r="E210" t="s">
        <v>54</v>
      </c>
      <c r="F210" t="s">
        <v>47</v>
      </c>
      <c r="G210" t="s">
        <v>16</v>
      </c>
      <c r="H210" s="1">
        <v>46111</v>
      </c>
      <c r="I210" s="1" t="str">
        <f>TEXT(Lead_Data[[#This Row],[Lead_Date]],"mmmm")</f>
        <v>March</v>
      </c>
      <c r="J210">
        <f ca="1">TODAY()-Lead_Data[[#This Row],[Lead_Date]]</f>
        <v>91</v>
      </c>
      <c r="K210" t="s">
        <v>17</v>
      </c>
      <c r="L210">
        <v>34663</v>
      </c>
      <c r="M210" t="str">
        <f>IF(Lead_Data[[#This Row],[Potential_Value]]&gt;100000,"High","Low")</f>
        <v>Low</v>
      </c>
      <c r="N210" t="s">
        <v>36</v>
      </c>
    </row>
    <row r="211" spans="1:14" x14ac:dyDescent="0.3">
      <c r="A211" t="s">
        <v>611</v>
      </c>
      <c r="B211" t="s">
        <v>612</v>
      </c>
      <c r="C211">
        <v>9375272165</v>
      </c>
      <c r="D211" t="s">
        <v>613</v>
      </c>
      <c r="E211" t="s">
        <v>28</v>
      </c>
      <c r="F211" t="s">
        <v>72</v>
      </c>
      <c r="G211" t="s">
        <v>61</v>
      </c>
      <c r="H211" s="1">
        <v>46173</v>
      </c>
      <c r="I211" s="1" t="str">
        <f>TEXT(Lead_Data[[#This Row],[Lead_Date]],"mmmm")</f>
        <v>May</v>
      </c>
      <c r="J211">
        <f ca="1">TODAY()-Lead_Data[[#This Row],[Lead_Date]]</f>
        <v>29</v>
      </c>
      <c r="K211" t="s">
        <v>49</v>
      </c>
      <c r="L211">
        <v>121660</v>
      </c>
      <c r="M211" t="str">
        <f>IF(Lead_Data[[#This Row],[Potential_Value]]&gt;100000,"High","Low")</f>
        <v>High</v>
      </c>
      <c r="N211" t="s">
        <v>36</v>
      </c>
    </row>
    <row r="212" spans="1:14" x14ac:dyDescent="0.3">
      <c r="A212" t="s">
        <v>614</v>
      </c>
      <c r="B212" t="s">
        <v>137</v>
      </c>
      <c r="C212">
        <v>9327569612</v>
      </c>
      <c r="D212" t="s">
        <v>615</v>
      </c>
      <c r="E212" t="s">
        <v>208</v>
      </c>
      <c r="F212" t="s">
        <v>15</v>
      </c>
      <c r="G212" t="s">
        <v>93</v>
      </c>
      <c r="H212" s="1">
        <v>46088</v>
      </c>
      <c r="I212" s="1" t="str">
        <f>TEXT(Lead_Data[[#This Row],[Lead_Date]],"mmmm")</f>
        <v>March</v>
      </c>
      <c r="J212">
        <f ca="1">TODAY()-Lead_Data[[#This Row],[Lead_Date]]</f>
        <v>114</v>
      </c>
      <c r="K212" t="s">
        <v>31</v>
      </c>
      <c r="L212">
        <v>109143</v>
      </c>
      <c r="M212" t="str">
        <f>IF(Lead_Data[[#This Row],[Potential_Value]]&gt;100000,"High","Low")</f>
        <v>High</v>
      </c>
      <c r="N212" t="s">
        <v>36</v>
      </c>
    </row>
    <row r="213" spans="1:14" x14ac:dyDescent="0.3">
      <c r="A213" t="s">
        <v>616</v>
      </c>
      <c r="B213" t="s">
        <v>180</v>
      </c>
      <c r="C213">
        <v>9359611341</v>
      </c>
      <c r="D213" t="s">
        <v>617</v>
      </c>
      <c r="E213" t="s">
        <v>46</v>
      </c>
      <c r="F213" t="s">
        <v>60</v>
      </c>
      <c r="G213" t="s">
        <v>30</v>
      </c>
      <c r="H213" s="1">
        <v>46140</v>
      </c>
      <c r="I213" s="1" t="str">
        <f>TEXT(Lead_Data[[#This Row],[Lead_Date]],"mmmm")</f>
        <v>April</v>
      </c>
      <c r="J213">
        <f ca="1">TODAY()-Lead_Data[[#This Row],[Lead_Date]]</f>
        <v>62</v>
      </c>
      <c r="K213" t="s">
        <v>42</v>
      </c>
      <c r="L213">
        <v>177730</v>
      </c>
      <c r="M213" t="str">
        <f>IF(Lead_Data[[#This Row],[Potential_Value]]&gt;100000,"High","Low")</f>
        <v>High</v>
      </c>
      <c r="N213" t="s">
        <v>55</v>
      </c>
    </row>
    <row r="214" spans="1:14" x14ac:dyDescent="0.3">
      <c r="A214" t="s">
        <v>618</v>
      </c>
      <c r="B214" t="s">
        <v>619</v>
      </c>
      <c r="C214">
        <v>9844519954</v>
      </c>
      <c r="D214" t="s">
        <v>620</v>
      </c>
      <c r="E214" t="s">
        <v>28</v>
      </c>
      <c r="F214" t="s">
        <v>72</v>
      </c>
      <c r="G214" t="s">
        <v>30</v>
      </c>
      <c r="H214" s="1">
        <v>46104</v>
      </c>
      <c r="I214" s="1" t="str">
        <f>TEXT(Lead_Data[[#This Row],[Lead_Date]],"mmmm")</f>
        <v>March</v>
      </c>
      <c r="J214">
        <f ca="1">TODAY()-Lead_Data[[#This Row],[Lead_Date]]</f>
        <v>98</v>
      </c>
      <c r="K214" t="s">
        <v>35</v>
      </c>
      <c r="L214">
        <v>142776</v>
      </c>
      <c r="M214" t="str">
        <f>IF(Lead_Data[[#This Row],[Potential_Value]]&gt;100000,"High","Low")</f>
        <v>High</v>
      </c>
      <c r="N214" t="s">
        <v>55</v>
      </c>
    </row>
    <row r="215" spans="1:14" x14ac:dyDescent="0.3">
      <c r="A215" t="s">
        <v>621</v>
      </c>
      <c r="B215" t="s">
        <v>622</v>
      </c>
      <c r="C215">
        <v>9759782844</v>
      </c>
      <c r="D215" t="s">
        <v>623</v>
      </c>
      <c r="E215" t="s">
        <v>22</v>
      </c>
      <c r="F215" t="s">
        <v>72</v>
      </c>
      <c r="G215" t="s">
        <v>30</v>
      </c>
      <c r="H215" s="1">
        <v>46083</v>
      </c>
      <c r="I215" s="1" t="str">
        <f>TEXT(Lead_Data[[#This Row],[Lead_Date]],"mmmm")</f>
        <v>March</v>
      </c>
      <c r="J215">
        <f ca="1">TODAY()-Lead_Data[[#This Row],[Lead_Date]]</f>
        <v>119</v>
      </c>
      <c r="K215" t="s">
        <v>49</v>
      </c>
      <c r="L215">
        <v>102277</v>
      </c>
      <c r="M215" t="str">
        <f>IF(Lead_Data[[#This Row],[Potential_Value]]&gt;100000,"High","Low")</f>
        <v>High</v>
      </c>
      <c r="N215" t="s">
        <v>36</v>
      </c>
    </row>
    <row r="216" spans="1:14" x14ac:dyDescent="0.3">
      <c r="A216" t="s">
        <v>624</v>
      </c>
      <c r="B216" t="s">
        <v>625</v>
      </c>
      <c r="C216">
        <v>9844615187</v>
      </c>
      <c r="D216" t="s">
        <v>626</v>
      </c>
      <c r="E216" t="s">
        <v>46</v>
      </c>
      <c r="F216" t="s">
        <v>23</v>
      </c>
      <c r="G216" t="s">
        <v>30</v>
      </c>
      <c r="H216" s="1">
        <v>46154</v>
      </c>
      <c r="I216" s="1" t="str">
        <f>TEXT(Lead_Data[[#This Row],[Lead_Date]],"mmmm")</f>
        <v>May</v>
      </c>
      <c r="J216">
        <f ca="1">TODAY()-Lead_Data[[#This Row],[Lead_Date]]</f>
        <v>48</v>
      </c>
      <c r="K216" t="s">
        <v>31</v>
      </c>
      <c r="L216">
        <v>93278</v>
      </c>
      <c r="M216" t="str">
        <f>IF(Lead_Data[[#This Row],[Potential_Value]]&gt;100000,"High","Low")</f>
        <v>Low</v>
      </c>
      <c r="N216" t="s">
        <v>36</v>
      </c>
    </row>
    <row r="217" spans="1:14" x14ac:dyDescent="0.3">
      <c r="A217" t="s">
        <v>627</v>
      </c>
      <c r="B217" t="s">
        <v>628</v>
      </c>
      <c r="C217">
        <v>9689159693</v>
      </c>
      <c r="D217" t="s">
        <v>629</v>
      </c>
      <c r="E217" t="s">
        <v>46</v>
      </c>
      <c r="F217" t="s">
        <v>60</v>
      </c>
      <c r="G217" t="s">
        <v>30</v>
      </c>
      <c r="H217" s="1">
        <v>46174</v>
      </c>
      <c r="I217" s="1" t="str">
        <f>TEXT(Lead_Data[[#This Row],[Lead_Date]],"mmmm")</f>
        <v>June</v>
      </c>
      <c r="J217">
        <f ca="1">TODAY()-Lead_Data[[#This Row],[Lead_Date]]</f>
        <v>28</v>
      </c>
      <c r="K217" t="s">
        <v>24</v>
      </c>
      <c r="L217">
        <v>94913</v>
      </c>
      <c r="M217" t="str">
        <f>IF(Lead_Data[[#This Row],[Potential_Value]]&gt;100000,"High","Low")</f>
        <v>Low</v>
      </c>
      <c r="N217" t="s">
        <v>83</v>
      </c>
    </row>
    <row r="218" spans="1:14" x14ac:dyDescent="0.3">
      <c r="A218" t="s">
        <v>630</v>
      </c>
      <c r="B218" t="s">
        <v>631</v>
      </c>
      <c r="C218">
        <v>9674600756</v>
      </c>
      <c r="D218" t="s">
        <v>632</v>
      </c>
      <c r="E218" t="s">
        <v>59</v>
      </c>
      <c r="F218" t="s">
        <v>29</v>
      </c>
      <c r="G218" t="s">
        <v>93</v>
      </c>
      <c r="H218" s="1">
        <v>46120</v>
      </c>
      <c r="I218" s="1" t="str">
        <f>TEXT(Lead_Data[[#This Row],[Lead_Date]],"mmmm")</f>
        <v>April</v>
      </c>
      <c r="J218">
        <f ca="1">TODAY()-Lead_Data[[#This Row],[Lead_Date]]</f>
        <v>82</v>
      </c>
      <c r="K218" t="s">
        <v>31</v>
      </c>
      <c r="L218">
        <v>249677</v>
      </c>
      <c r="M218" t="str">
        <f>IF(Lead_Data[[#This Row],[Potential_Value]]&gt;100000,"High","Low")</f>
        <v>High</v>
      </c>
      <c r="N218" t="s">
        <v>36</v>
      </c>
    </row>
    <row r="219" spans="1:14" x14ac:dyDescent="0.3">
      <c r="A219" t="s">
        <v>633</v>
      </c>
      <c r="B219" t="s">
        <v>634</v>
      </c>
      <c r="C219">
        <v>9714833527</v>
      </c>
      <c r="D219" t="s">
        <v>635</v>
      </c>
      <c r="E219" t="s">
        <v>22</v>
      </c>
      <c r="F219" t="s">
        <v>23</v>
      </c>
      <c r="G219" t="s">
        <v>16</v>
      </c>
      <c r="H219" s="1">
        <v>46063</v>
      </c>
      <c r="I219" s="1" t="str">
        <f>TEXT(Lead_Data[[#This Row],[Lead_Date]],"mmmm")</f>
        <v>February</v>
      </c>
      <c r="J219">
        <f ca="1">TODAY()-Lead_Data[[#This Row],[Lead_Date]]</f>
        <v>139</v>
      </c>
      <c r="K219" t="s">
        <v>49</v>
      </c>
      <c r="L219">
        <v>242969</v>
      </c>
      <c r="M219" t="str">
        <f>IF(Lead_Data[[#This Row],[Potential_Value]]&gt;100000,"High","Low")</f>
        <v>High</v>
      </c>
      <c r="N219" t="s">
        <v>50</v>
      </c>
    </row>
    <row r="220" spans="1:14" x14ac:dyDescent="0.3">
      <c r="A220" t="s">
        <v>636</v>
      </c>
      <c r="B220" t="s">
        <v>67</v>
      </c>
      <c r="C220">
        <v>9512917374</v>
      </c>
      <c r="D220" t="s">
        <v>637</v>
      </c>
      <c r="E220" t="s">
        <v>14</v>
      </c>
      <c r="F220" t="s">
        <v>29</v>
      </c>
      <c r="G220" t="s">
        <v>61</v>
      </c>
      <c r="H220" s="1">
        <v>46183</v>
      </c>
      <c r="I220" s="1" t="str">
        <f>TEXT(Lead_Data[[#This Row],[Lead_Date]],"mmmm")</f>
        <v>June</v>
      </c>
      <c r="J220">
        <f ca="1">TODAY()-Lead_Data[[#This Row],[Lead_Date]]</f>
        <v>19</v>
      </c>
      <c r="K220" t="s">
        <v>49</v>
      </c>
      <c r="L220">
        <v>225760</v>
      </c>
      <c r="M220" t="str">
        <f>IF(Lead_Data[[#This Row],[Potential_Value]]&gt;100000,"High","Low")</f>
        <v>High</v>
      </c>
      <c r="N220" t="s">
        <v>50</v>
      </c>
    </row>
    <row r="221" spans="1:14" x14ac:dyDescent="0.3">
      <c r="A221" t="s">
        <v>638</v>
      </c>
      <c r="B221" t="s">
        <v>447</v>
      </c>
      <c r="C221">
        <v>9629161981</v>
      </c>
      <c r="D221" t="s">
        <v>639</v>
      </c>
      <c r="E221" t="s">
        <v>22</v>
      </c>
      <c r="F221" t="s">
        <v>41</v>
      </c>
      <c r="G221" t="s">
        <v>30</v>
      </c>
      <c r="H221" s="1">
        <v>46107</v>
      </c>
      <c r="I221" s="1" t="str">
        <f>TEXT(Lead_Data[[#This Row],[Lead_Date]],"mmmm")</f>
        <v>March</v>
      </c>
      <c r="J221">
        <f ca="1">TODAY()-Lead_Data[[#This Row],[Lead_Date]]</f>
        <v>95</v>
      </c>
      <c r="K221" t="s">
        <v>31</v>
      </c>
      <c r="L221">
        <v>197098</v>
      </c>
      <c r="M221" t="str">
        <f>IF(Lead_Data[[#This Row],[Potential_Value]]&gt;100000,"High","Low")</f>
        <v>High</v>
      </c>
      <c r="N221" t="s">
        <v>55</v>
      </c>
    </row>
    <row r="222" spans="1:14" x14ac:dyDescent="0.3">
      <c r="A222" t="s">
        <v>640</v>
      </c>
      <c r="B222" t="s">
        <v>625</v>
      </c>
      <c r="C222">
        <v>9530051053</v>
      </c>
      <c r="D222" t="s">
        <v>641</v>
      </c>
      <c r="E222" t="s">
        <v>76</v>
      </c>
      <c r="F222" t="s">
        <v>29</v>
      </c>
      <c r="G222" t="s">
        <v>93</v>
      </c>
      <c r="H222" s="1">
        <v>46091</v>
      </c>
      <c r="I222" s="1" t="str">
        <f>TEXT(Lead_Data[[#This Row],[Lead_Date]],"mmmm")</f>
        <v>March</v>
      </c>
      <c r="J222">
        <f ca="1">TODAY()-Lead_Data[[#This Row],[Lead_Date]]</f>
        <v>111</v>
      </c>
      <c r="K222" t="s">
        <v>31</v>
      </c>
      <c r="L222">
        <v>16663</v>
      </c>
      <c r="M222" t="str">
        <f>IF(Lead_Data[[#This Row],[Potential_Value]]&gt;100000,"High","Low")</f>
        <v>Low</v>
      </c>
      <c r="N222" t="s">
        <v>83</v>
      </c>
    </row>
    <row r="223" spans="1:14" x14ac:dyDescent="0.3">
      <c r="A223" t="s">
        <v>642</v>
      </c>
      <c r="B223" t="s">
        <v>643</v>
      </c>
      <c r="C223">
        <v>9632521447</v>
      </c>
      <c r="D223" t="s">
        <v>644</v>
      </c>
      <c r="E223" t="s">
        <v>46</v>
      </c>
      <c r="F223" t="s">
        <v>23</v>
      </c>
      <c r="G223" t="s">
        <v>61</v>
      </c>
      <c r="H223" s="1">
        <v>46089</v>
      </c>
      <c r="I223" s="1" t="str">
        <f>TEXT(Lead_Data[[#This Row],[Lead_Date]],"mmmm")</f>
        <v>March</v>
      </c>
      <c r="J223">
        <f ca="1">TODAY()-Lead_Data[[#This Row],[Lead_Date]]</f>
        <v>113</v>
      </c>
      <c r="K223" t="s">
        <v>24</v>
      </c>
      <c r="L223">
        <v>246760</v>
      </c>
      <c r="M223" t="str">
        <f>IF(Lead_Data[[#This Row],[Potential_Value]]&gt;100000,"High","Low")</f>
        <v>High</v>
      </c>
      <c r="N223" t="s">
        <v>55</v>
      </c>
    </row>
    <row r="224" spans="1:14" x14ac:dyDescent="0.3">
      <c r="A224" t="s">
        <v>645</v>
      </c>
      <c r="B224" t="s">
        <v>646</v>
      </c>
      <c r="C224">
        <v>9894691487</v>
      </c>
      <c r="D224" t="s">
        <v>647</v>
      </c>
      <c r="E224" t="s">
        <v>22</v>
      </c>
      <c r="F224" t="s">
        <v>47</v>
      </c>
      <c r="G224" t="s">
        <v>48</v>
      </c>
      <c r="H224" s="1">
        <v>46194</v>
      </c>
      <c r="I224" s="1" t="str">
        <f>TEXT(Lead_Data[[#This Row],[Lead_Date]],"mmmm")</f>
        <v>June</v>
      </c>
      <c r="J224">
        <f ca="1">TODAY()-Lead_Data[[#This Row],[Lead_Date]]</f>
        <v>8</v>
      </c>
      <c r="K224" t="s">
        <v>49</v>
      </c>
      <c r="L224">
        <v>41244</v>
      </c>
      <c r="M224" t="str">
        <f>IF(Lead_Data[[#This Row],[Potential_Value]]&gt;100000,"High","Low")</f>
        <v>Low</v>
      </c>
      <c r="N224" t="s">
        <v>83</v>
      </c>
    </row>
    <row r="225" spans="1:14" x14ac:dyDescent="0.3">
      <c r="A225" t="s">
        <v>648</v>
      </c>
      <c r="B225" t="s">
        <v>649</v>
      </c>
      <c r="C225">
        <v>9642034416</v>
      </c>
      <c r="D225" t="s">
        <v>650</v>
      </c>
      <c r="E225" t="s">
        <v>14</v>
      </c>
      <c r="F225" t="s">
        <v>29</v>
      </c>
      <c r="G225" t="s">
        <v>61</v>
      </c>
      <c r="H225" s="1">
        <v>46083</v>
      </c>
      <c r="I225" s="1" t="str">
        <f>TEXT(Lead_Data[[#This Row],[Lead_Date]],"mmmm")</f>
        <v>March</v>
      </c>
      <c r="J225">
        <f ca="1">TODAY()-Lead_Data[[#This Row],[Lead_Date]]</f>
        <v>119</v>
      </c>
      <c r="K225" t="s">
        <v>24</v>
      </c>
      <c r="L225">
        <v>244933</v>
      </c>
      <c r="M225" t="str">
        <f>IF(Lead_Data[[#This Row],[Potential_Value]]&gt;100000,"High","Low")</f>
        <v>High</v>
      </c>
      <c r="N225" t="s">
        <v>50</v>
      </c>
    </row>
    <row r="226" spans="1:14" x14ac:dyDescent="0.3">
      <c r="A226" t="s">
        <v>651</v>
      </c>
      <c r="B226" t="s">
        <v>652</v>
      </c>
      <c r="C226">
        <v>9629374485</v>
      </c>
      <c r="D226" t="s">
        <v>653</v>
      </c>
      <c r="E226" t="s">
        <v>208</v>
      </c>
      <c r="F226" t="s">
        <v>29</v>
      </c>
      <c r="G226" t="s">
        <v>16</v>
      </c>
      <c r="H226" s="1">
        <v>46186</v>
      </c>
      <c r="I226" s="1" t="str">
        <f>TEXT(Lead_Data[[#This Row],[Lead_Date]],"mmmm")</f>
        <v>June</v>
      </c>
      <c r="J226">
        <f ca="1">TODAY()-Lead_Data[[#This Row],[Lead_Date]]</f>
        <v>16</v>
      </c>
      <c r="K226" t="s">
        <v>49</v>
      </c>
      <c r="L226">
        <v>143899</v>
      </c>
      <c r="M226" t="str">
        <f>IF(Lead_Data[[#This Row],[Potential_Value]]&gt;100000,"High","Low")</f>
        <v>High</v>
      </c>
      <c r="N226" t="s">
        <v>50</v>
      </c>
    </row>
    <row r="227" spans="1:14" x14ac:dyDescent="0.3">
      <c r="A227" t="s">
        <v>654</v>
      </c>
      <c r="B227" t="s">
        <v>192</v>
      </c>
      <c r="C227">
        <v>9348439214</v>
      </c>
      <c r="D227" t="s">
        <v>655</v>
      </c>
      <c r="E227" t="s">
        <v>65</v>
      </c>
      <c r="F227" t="s">
        <v>29</v>
      </c>
      <c r="G227" t="s">
        <v>30</v>
      </c>
      <c r="H227" s="1">
        <v>46070</v>
      </c>
      <c r="I227" s="1" t="str">
        <f>TEXT(Lead_Data[[#This Row],[Lead_Date]],"mmmm")</f>
        <v>February</v>
      </c>
      <c r="J227">
        <f ca="1">TODAY()-Lead_Data[[#This Row],[Lead_Date]]</f>
        <v>132</v>
      </c>
      <c r="K227" t="s">
        <v>24</v>
      </c>
      <c r="L227">
        <v>67216</v>
      </c>
      <c r="M227" t="str">
        <f>IF(Lead_Data[[#This Row],[Potential_Value]]&gt;100000,"High","Low")</f>
        <v>Low</v>
      </c>
      <c r="N227" t="s">
        <v>83</v>
      </c>
    </row>
    <row r="228" spans="1:14" x14ac:dyDescent="0.3">
      <c r="A228" t="s">
        <v>656</v>
      </c>
      <c r="B228" t="s">
        <v>399</v>
      </c>
      <c r="C228">
        <v>9780015044</v>
      </c>
      <c r="D228" t="s">
        <v>657</v>
      </c>
      <c r="E228" t="s">
        <v>59</v>
      </c>
      <c r="F228" t="s">
        <v>72</v>
      </c>
      <c r="G228" t="s">
        <v>16</v>
      </c>
      <c r="H228" s="1">
        <v>46081</v>
      </c>
      <c r="I228" s="1" t="str">
        <f>TEXT(Lead_Data[[#This Row],[Lead_Date]],"mmmm")</f>
        <v>February</v>
      </c>
      <c r="J228">
        <f ca="1">TODAY()-Lead_Data[[#This Row],[Lead_Date]]</f>
        <v>121</v>
      </c>
      <c r="K228" t="s">
        <v>17</v>
      </c>
      <c r="L228">
        <v>227309</v>
      </c>
      <c r="M228" t="str">
        <f>IF(Lead_Data[[#This Row],[Potential_Value]]&gt;100000,"High","Low")</f>
        <v>High</v>
      </c>
      <c r="N228" t="s">
        <v>36</v>
      </c>
    </row>
    <row r="229" spans="1:14" x14ac:dyDescent="0.3">
      <c r="A229" t="s">
        <v>658</v>
      </c>
      <c r="B229" t="s">
        <v>453</v>
      </c>
      <c r="C229">
        <v>9633530777</v>
      </c>
      <c r="D229" t="s">
        <v>659</v>
      </c>
      <c r="E229" t="s">
        <v>59</v>
      </c>
      <c r="F229" t="s">
        <v>47</v>
      </c>
      <c r="G229" t="s">
        <v>93</v>
      </c>
      <c r="H229" s="1">
        <v>46075</v>
      </c>
      <c r="I229" s="1" t="str">
        <f>TEXT(Lead_Data[[#This Row],[Lead_Date]],"mmmm")</f>
        <v>February</v>
      </c>
      <c r="J229">
        <f ca="1">TODAY()-Lead_Data[[#This Row],[Lead_Date]]</f>
        <v>127</v>
      </c>
      <c r="K229" t="s">
        <v>42</v>
      </c>
      <c r="L229">
        <v>90751</v>
      </c>
      <c r="M229" t="str">
        <f>IF(Lead_Data[[#This Row],[Potential_Value]]&gt;100000,"High","Low")</f>
        <v>Low</v>
      </c>
      <c r="N229" t="s">
        <v>50</v>
      </c>
    </row>
    <row r="230" spans="1:14" x14ac:dyDescent="0.3">
      <c r="A230" t="s">
        <v>660</v>
      </c>
      <c r="B230" t="s">
        <v>338</v>
      </c>
      <c r="C230">
        <v>9364777338</v>
      </c>
      <c r="D230" t="s">
        <v>661</v>
      </c>
      <c r="E230" t="s">
        <v>40</v>
      </c>
      <c r="F230" t="s">
        <v>60</v>
      </c>
      <c r="G230" t="s">
        <v>61</v>
      </c>
      <c r="H230" s="1">
        <v>46037</v>
      </c>
      <c r="I230" s="1" t="str">
        <f>TEXT(Lead_Data[[#This Row],[Lead_Date]],"mmmm")</f>
        <v>January</v>
      </c>
      <c r="J230">
        <f ca="1">TODAY()-Lead_Data[[#This Row],[Lead_Date]]</f>
        <v>165</v>
      </c>
      <c r="K230" t="s">
        <v>49</v>
      </c>
      <c r="L230">
        <v>83861</v>
      </c>
      <c r="M230" t="str">
        <f>IF(Lead_Data[[#This Row],[Potential_Value]]&gt;100000,"High","Low")</f>
        <v>Low</v>
      </c>
      <c r="N230" t="s">
        <v>55</v>
      </c>
    </row>
    <row r="231" spans="1:14" x14ac:dyDescent="0.3">
      <c r="A231" t="s">
        <v>662</v>
      </c>
      <c r="B231" t="s">
        <v>663</v>
      </c>
      <c r="C231">
        <v>9527888799</v>
      </c>
      <c r="D231" t="s">
        <v>664</v>
      </c>
      <c r="E231" t="s">
        <v>54</v>
      </c>
      <c r="F231" t="s">
        <v>72</v>
      </c>
      <c r="G231" t="s">
        <v>93</v>
      </c>
      <c r="H231" s="1">
        <v>46193</v>
      </c>
      <c r="I231" s="1" t="str">
        <f>TEXT(Lead_Data[[#This Row],[Lead_Date]],"mmmm")</f>
        <v>June</v>
      </c>
      <c r="J231">
        <f ca="1">TODAY()-Lead_Data[[#This Row],[Lead_Date]]</f>
        <v>9</v>
      </c>
      <c r="K231" t="s">
        <v>42</v>
      </c>
      <c r="L231">
        <v>228004</v>
      </c>
      <c r="M231" t="str">
        <f>IF(Lead_Data[[#This Row],[Potential_Value]]&gt;100000,"High","Low")</f>
        <v>High</v>
      </c>
      <c r="N231" t="s">
        <v>83</v>
      </c>
    </row>
    <row r="232" spans="1:14" x14ac:dyDescent="0.3">
      <c r="A232" t="s">
        <v>665</v>
      </c>
      <c r="B232" t="s">
        <v>666</v>
      </c>
      <c r="C232">
        <v>9687164419</v>
      </c>
      <c r="D232" t="s">
        <v>667</v>
      </c>
      <c r="E232" t="s">
        <v>208</v>
      </c>
      <c r="F232" t="s">
        <v>15</v>
      </c>
      <c r="G232" t="s">
        <v>16</v>
      </c>
      <c r="H232" s="1">
        <v>46175</v>
      </c>
      <c r="I232" s="1" t="str">
        <f>TEXT(Lead_Data[[#This Row],[Lead_Date]],"mmmm")</f>
        <v>June</v>
      </c>
      <c r="J232">
        <f ca="1">TODAY()-Lead_Data[[#This Row],[Lead_Date]]</f>
        <v>27</v>
      </c>
      <c r="K232" t="s">
        <v>24</v>
      </c>
      <c r="L232">
        <v>145168</v>
      </c>
      <c r="M232" t="str">
        <f>IF(Lead_Data[[#This Row],[Potential_Value]]&gt;100000,"High","Low")</f>
        <v>High</v>
      </c>
      <c r="N232" t="s">
        <v>36</v>
      </c>
    </row>
    <row r="233" spans="1:14" x14ac:dyDescent="0.3">
      <c r="A233" t="s">
        <v>668</v>
      </c>
      <c r="B233" t="s">
        <v>669</v>
      </c>
      <c r="C233">
        <v>9753081042</v>
      </c>
      <c r="D233" t="s">
        <v>670</v>
      </c>
      <c r="E233" t="s">
        <v>28</v>
      </c>
      <c r="F233" t="s">
        <v>60</v>
      </c>
      <c r="G233" t="s">
        <v>30</v>
      </c>
      <c r="H233" s="1">
        <v>46120</v>
      </c>
      <c r="I233" s="1" t="str">
        <f>TEXT(Lead_Data[[#This Row],[Lead_Date]],"mmmm")</f>
        <v>April</v>
      </c>
      <c r="J233">
        <f ca="1">TODAY()-Lead_Data[[#This Row],[Lead_Date]]</f>
        <v>82</v>
      </c>
      <c r="K233" t="s">
        <v>49</v>
      </c>
      <c r="L233">
        <v>238800</v>
      </c>
      <c r="M233" t="str">
        <f>IF(Lead_Data[[#This Row],[Potential_Value]]&gt;100000,"High","Low")</f>
        <v>High</v>
      </c>
      <c r="N233" t="s">
        <v>36</v>
      </c>
    </row>
    <row r="234" spans="1:14" x14ac:dyDescent="0.3">
      <c r="A234" t="s">
        <v>671</v>
      </c>
      <c r="B234" t="s">
        <v>434</v>
      </c>
      <c r="C234">
        <v>9881203914</v>
      </c>
      <c r="D234" t="s">
        <v>672</v>
      </c>
      <c r="E234" t="s">
        <v>59</v>
      </c>
      <c r="F234" t="s">
        <v>23</v>
      </c>
      <c r="G234" t="s">
        <v>93</v>
      </c>
      <c r="H234" s="1">
        <v>46160</v>
      </c>
      <c r="I234" s="1" t="str">
        <f>TEXT(Lead_Data[[#This Row],[Lead_Date]],"mmmm")</f>
        <v>May</v>
      </c>
      <c r="J234">
        <f ca="1">TODAY()-Lead_Data[[#This Row],[Lead_Date]]</f>
        <v>42</v>
      </c>
      <c r="K234" t="s">
        <v>17</v>
      </c>
      <c r="L234">
        <v>68641</v>
      </c>
      <c r="M234" t="str">
        <f>IF(Lead_Data[[#This Row],[Potential_Value]]&gt;100000,"High","Low")</f>
        <v>Low</v>
      </c>
      <c r="N234" t="s">
        <v>18</v>
      </c>
    </row>
    <row r="235" spans="1:14" x14ac:dyDescent="0.3">
      <c r="A235" t="s">
        <v>673</v>
      </c>
      <c r="B235" t="s">
        <v>123</v>
      </c>
      <c r="C235">
        <v>9643615914</v>
      </c>
      <c r="D235" t="s">
        <v>674</v>
      </c>
      <c r="E235" t="s">
        <v>208</v>
      </c>
      <c r="F235" t="s">
        <v>23</v>
      </c>
      <c r="G235" t="s">
        <v>30</v>
      </c>
      <c r="H235" s="1">
        <v>46165</v>
      </c>
      <c r="I235" s="1" t="str">
        <f>TEXT(Lead_Data[[#This Row],[Lead_Date]],"mmmm")</f>
        <v>May</v>
      </c>
      <c r="J235">
        <f ca="1">TODAY()-Lead_Data[[#This Row],[Lead_Date]]</f>
        <v>37</v>
      </c>
      <c r="K235" t="s">
        <v>35</v>
      </c>
      <c r="L235">
        <v>203658</v>
      </c>
      <c r="M235" t="str">
        <f>IF(Lead_Data[[#This Row],[Potential_Value]]&gt;100000,"High","Low")</f>
        <v>High</v>
      </c>
      <c r="N235" t="s">
        <v>50</v>
      </c>
    </row>
    <row r="236" spans="1:14" x14ac:dyDescent="0.3">
      <c r="A236" t="s">
        <v>675</v>
      </c>
      <c r="B236" t="s">
        <v>210</v>
      </c>
      <c r="C236">
        <v>9395474840</v>
      </c>
      <c r="D236" t="s">
        <v>676</v>
      </c>
      <c r="E236" t="s">
        <v>46</v>
      </c>
      <c r="F236" t="s">
        <v>47</v>
      </c>
      <c r="G236" t="s">
        <v>93</v>
      </c>
      <c r="H236" s="1">
        <v>46170</v>
      </c>
      <c r="I236" s="1" t="str">
        <f>TEXT(Lead_Data[[#This Row],[Lead_Date]],"mmmm")</f>
        <v>May</v>
      </c>
      <c r="J236">
        <f ca="1">TODAY()-Lead_Data[[#This Row],[Lead_Date]]</f>
        <v>32</v>
      </c>
      <c r="K236" t="s">
        <v>35</v>
      </c>
      <c r="L236">
        <v>126447</v>
      </c>
      <c r="M236" t="str">
        <f>IF(Lead_Data[[#This Row],[Potential_Value]]&gt;100000,"High","Low")</f>
        <v>High</v>
      </c>
      <c r="N236" t="s">
        <v>36</v>
      </c>
    </row>
    <row r="237" spans="1:14" x14ac:dyDescent="0.3">
      <c r="A237" t="s">
        <v>677</v>
      </c>
      <c r="B237" t="s">
        <v>678</v>
      </c>
      <c r="C237">
        <v>9716062698</v>
      </c>
      <c r="D237" t="s">
        <v>679</v>
      </c>
      <c r="E237" t="s">
        <v>14</v>
      </c>
      <c r="F237" t="s">
        <v>29</v>
      </c>
      <c r="G237" t="s">
        <v>48</v>
      </c>
      <c r="H237" s="1">
        <v>46092</v>
      </c>
      <c r="I237" s="1" t="str">
        <f>TEXT(Lead_Data[[#This Row],[Lead_Date]],"mmmm")</f>
        <v>March</v>
      </c>
      <c r="J237">
        <f ca="1">TODAY()-Lead_Data[[#This Row],[Lead_Date]]</f>
        <v>110</v>
      </c>
      <c r="K237" t="s">
        <v>42</v>
      </c>
      <c r="L237">
        <v>141270</v>
      </c>
      <c r="M237" t="str">
        <f>IF(Lead_Data[[#This Row],[Potential_Value]]&gt;100000,"High","Low")</f>
        <v>High</v>
      </c>
      <c r="N237" t="s">
        <v>83</v>
      </c>
    </row>
    <row r="238" spans="1:14" x14ac:dyDescent="0.3">
      <c r="A238" t="s">
        <v>680</v>
      </c>
      <c r="B238" t="s">
        <v>681</v>
      </c>
      <c r="C238">
        <v>9528381739</v>
      </c>
      <c r="D238" t="s">
        <v>682</v>
      </c>
      <c r="E238" t="s">
        <v>28</v>
      </c>
      <c r="F238" t="s">
        <v>72</v>
      </c>
      <c r="G238" t="s">
        <v>93</v>
      </c>
      <c r="H238" s="1">
        <v>46161</v>
      </c>
      <c r="I238" s="1" t="str">
        <f>TEXT(Lead_Data[[#This Row],[Lead_Date]],"mmmm")</f>
        <v>May</v>
      </c>
      <c r="J238">
        <f ca="1">TODAY()-Lead_Data[[#This Row],[Lead_Date]]</f>
        <v>41</v>
      </c>
      <c r="K238" t="s">
        <v>31</v>
      </c>
      <c r="L238">
        <v>185315</v>
      </c>
      <c r="M238" t="str">
        <f>IF(Lead_Data[[#This Row],[Potential_Value]]&gt;100000,"High","Low")</f>
        <v>High</v>
      </c>
      <c r="N238" t="s">
        <v>18</v>
      </c>
    </row>
    <row r="239" spans="1:14" x14ac:dyDescent="0.3">
      <c r="A239" t="s">
        <v>683</v>
      </c>
      <c r="B239" t="s">
        <v>634</v>
      </c>
      <c r="C239">
        <v>9712484209</v>
      </c>
      <c r="D239" t="s">
        <v>684</v>
      </c>
      <c r="E239" t="s">
        <v>76</v>
      </c>
      <c r="F239" t="s">
        <v>41</v>
      </c>
      <c r="G239" t="s">
        <v>48</v>
      </c>
      <c r="H239" s="1">
        <v>46185</v>
      </c>
      <c r="I239" s="1" t="str">
        <f>TEXT(Lead_Data[[#This Row],[Lead_Date]],"mmmm")</f>
        <v>June</v>
      </c>
      <c r="J239">
        <f ca="1">TODAY()-Lead_Data[[#This Row],[Lead_Date]]</f>
        <v>17</v>
      </c>
      <c r="K239" t="s">
        <v>42</v>
      </c>
      <c r="L239">
        <v>230128</v>
      </c>
      <c r="M239" t="str">
        <f>IF(Lead_Data[[#This Row],[Potential_Value]]&gt;100000,"High","Low")</f>
        <v>High</v>
      </c>
      <c r="N239" t="s">
        <v>18</v>
      </c>
    </row>
    <row r="240" spans="1:14" x14ac:dyDescent="0.3">
      <c r="A240" t="s">
        <v>685</v>
      </c>
      <c r="B240" t="s">
        <v>686</v>
      </c>
      <c r="C240">
        <v>9858755221</v>
      </c>
      <c r="D240" t="s">
        <v>687</v>
      </c>
      <c r="E240" t="s">
        <v>76</v>
      </c>
      <c r="F240" t="s">
        <v>72</v>
      </c>
      <c r="G240" t="s">
        <v>61</v>
      </c>
      <c r="H240" s="1">
        <v>46109</v>
      </c>
      <c r="I240" s="1" t="str">
        <f>TEXT(Lead_Data[[#This Row],[Lead_Date]],"mmmm")</f>
        <v>March</v>
      </c>
      <c r="J240">
        <f ca="1">TODAY()-Lead_Data[[#This Row],[Lead_Date]]</f>
        <v>93</v>
      </c>
      <c r="K240" t="s">
        <v>35</v>
      </c>
      <c r="L240">
        <v>124185</v>
      </c>
      <c r="M240" t="str">
        <f>IF(Lead_Data[[#This Row],[Potential_Value]]&gt;100000,"High","Low")</f>
        <v>High</v>
      </c>
      <c r="N240" t="s">
        <v>18</v>
      </c>
    </row>
    <row r="241" spans="1:14" x14ac:dyDescent="0.3">
      <c r="A241" t="s">
        <v>688</v>
      </c>
      <c r="B241" t="s">
        <v>588</v>
      </c>
      <c r="C241">
        <v>9317187785</v>
      </c>
      <c r="D241" t="s">
        <v>689</v>
      </c>
      <c r="E241" t="s">
        <v>40</v>
      </c>
      <c r="F241" t="s">
        <v>72</v>
      </c>
      <c r="G241" t="s">
        <v>61</v>
      </c>
      <c r="H241" s="1">
        <v>46106</v>
      </c>
      <c r="I241" s="1" t="str">
        <f>TEXT(Lead_Data[[#This Row],[Lead_Date]],"mmmm")</f>
        <v>March</v>
      </c>
      <c r="J241">
        <f ca="1">TODAY()-Lead_Data[[#This Row],[Lead_Date]]</f>
        <v>96</v>
      </c>
      <c r="K241" t="s">
        <v>31</v>
      </c>
      <c r="L241">
        <v>238195</v>
      </c>
      <c r="M241" t="str">
        <f>IF(Lead_Data[[#This Row],[Potential_Value]]&gt;100000,"High","Low")</f>
        <v>High</v>
      </c>
      <c r="N241" t="s">
        <v>55</v>
      </c>
    </row>
    <row r="242" spans="1:14" x14ac:dyDescent="0.3">
      <c r="A242" t="s">
        <v>690</v>
      </c>
      <c r="B242" t="s">
        <v>159</v>
      </c>
      <c r="C242">
        <v>9335165258</v>
      </c>
      <c r="D242" t="s">
        <v>691</v>
      </c>
      <c r="E242" t="s">
        <v>65</v>
      </c>
      <c r="F242" t="s">
        <v>29</v>
      </c>
      <c r="G242" t="s">
        <v>93</v>
      </c>
      <c r="H242" s="1">
        <v>46040</v>
      </c>
      <c r="I242" s="1" t="str">
        <f>TEXT(Lead_Data[[#This Row],[Lead_Date]],"mmmm")</f>
        <v>January</v>
      </c>
      <c r="J242">
        <f ca="1">TODAY()-Lead_Data[[#This Row],[Lead_Date]]</f>
        <v>162</v>
      </c>
      <c r="K242" t="s">
        <v>42</v>
      </c>
      <c r="L242">
        <v>185411</v>
      </c>
      <c r="M242" t="str">
        <f>IF(Lead_Data[[#This Row],[Potential_Value]]&gt;100000,"High","Low")</f>
        <v>High</v>
      </c>
      <c r="N242" t="s">
        <v>36</v>
      </c>
    </row>
    <row r="243" spans="1:14" x14ac:dyDescent="0.3">
      <c r="A243" t="s">
        <v>692</v>
      </c>
      <c r="B243" t="s">
        <v>81</v>
      </c>
      <c r="C243">
        <v>9570898787</v>
      </c>
      <c r="D243" t="s">
        <v>693</v>
      </c>
      <c r="E243" t="s">
        <v>208</v>
      </c>
      <c r="F243" t="s">
        <v>60</v>
      </c>
      <c r="G243" t="s">
        <v>30</v>
      </c>
      <c r="H243" s="1">
        <v>46185</v>
      </c>
      <c r="I243" s="1" t="str">
        <f>TEXT(Lead_Data[[#This Row],[Lead_Date]],"mmmm")</f>
        <v>June</v>
      </c>
      <c r="J243">
        <f ca="1">TODAY()-Lead_Data[[#This Row],[Lead_Date]]</f>
        <v>17</v>
      </c>
      <c r="K243" t="s">
        <v>17</v>
      </c>
      <c r="L243">
        <v>236913</v>
      </c>
      <c r="M243" t="str">
        <f>IF(Lead_Data[[#This Row],[Potential_Value]]&gt;100000,"High","Low")</f>
        <v>High</v>
      </c>
      <c r="N243" t="s">
        <v>18</v>
      </c>
    </row>
    <row r="244" spans="1:14" x14ac:dyDescent="0.3">
      <c r="A244" t="s">
        <v>694</v>
      </c>
      <c r="B244" t="s">
        <v>149</v>
      </c>
      <c r="C244">
        <v>9346699570</v>
      </c>
      <c r="D244" t="s">
        <v>695</v>
      </c>
      <c r="E244" t="s">
        <v>40</v>
      </c>
      <c r="F244" t="s">
        <v>60</v>
      </c>
      <c r="G244" t="s">
        <v>30</v>
      </c>
      <c r="H244" s="1">
        <v>46183</v>
      </c>
      <c r="I244" s="1" t="str">
        <f>TEXT(Lead_Data[[#This Row],[Lead_Date]],"mmmm")</f>
        <v>June</v>
      </c>
      <c r="J244">
        <f ca="1">TODAY()-Lead_Data[[#This Row],[Lead_Date]]</f>
        <v>19</v>
      </c>
      <c r="K244" t="s">
        <v>42</v>
      </c>
      <c r="L244">
        <v>36346</v>
      </c>
      <c r="M244" t="str">
        <f>IF(Lead_Data[[#This Row],[Potential_Value]]&gt;100000,"High","Low")</f>
        <v>Low</v>
      </c>
      <c r="N244" t="s">
        <v>83</v>
      </c>
    </row>
    <row r="245" spans="1:14" x14ac:dyDescent="0.3">
      <c r="A245" t="s">
        <v>696</v>
      </c>
      <c r="B245" t="s">
        <v>531</v>
      </c>
      <c r="C245">
        <v>9541762938</v>
      </c>
      <c r="D245" t="s">
        <v>697</v>
      </c>
      <c r="E245" t="s">
        <v>54</v>
      </c>
      <c r="F245" t="s">
        <v>23</v>
      </c>
      <c r="G245" t="s">
        <v>61</v>
      </c>
      <c r="H245" s="1">
        <v>46033</v>
      </c>
      <c r="I245" s="1" t="str">
        <f>TEXT(Lead_Data[[#This Row],[Lead_Date]],"mmmm")</f>
        <v>January</v>
      </c>
      <c r="J245">
        <f ca="1">TODAY()-Lead_Data[[#This Row],[Lead_Date]]</f>
        <v>169</v>
      </c>
      <c r="K245" t="s">
        <v>49</v>
      </c>
      <c r="L245">
        <v>179743</v>
      </c>
      <c r="M245" t="str">
        <f>IF(Lead_Data[[#This Row],[Potential_Value]]&gt;100000,"High","Low")</f>
        <v>High</v>
      </c>
      <c r="N245" t="s">
        <v>50</v>
      </c>
    </row>
    <row r="246" spans="1:14" x14ac:dyDescent="0.3">
      <c r="A246" t="s">
        <v>698</v>
      </c>
      <c r="B246" t="s">
        <v>699</v>
      </c>
      <c r="C246">
        <v>9346025585</v>
      </c>
      <c r="D246" t="s">
        <v>700</v>
      </c>
      <c r="E246" t="s">
        <v>46</v>
      </c>
      <c r="F246" t="s">
        <v>47</v>
      </c>
      <c r="G246" t="s">
        <v>16</v>
      </c>
      <c r="H246" s="1">
        <v>46044</v>
      </c>
      <c r="I246" s="1" t="str">
        <f>TEXT(Lead_Data[[#This Row],[Lead_Date]],"mmmm")</f>
        <v>January</v>
      </c>
      <c r="J246">
        <f ca="1">TODAY()-Lead_Data[[#This Row],[Lead_Date]]</f>
        <v>158</v>
      </c>
      <c r="K246" t="s">
        <v>31</v>
      </c>
      <c r="L246">
        <v>125337</v>
      </c>
      <c r="M246" t="str">
        <f>IF(Lead_Data[[#This Row],[Potential_Value]]&gt;100000,"High","Low")</f>
        <v>High</v>
      </c>
      <c r="N246" t="s">
        <v>36</v>
      </c>
    </row>
    <row r="247" spans="1:14" x14ac:dyDescent="0.3">
      <c r="A247" t="s">
        <v>701</v>
      </c>
      <c r="B247" t="s">
        <v>702</v>
      </c>
      <c r="C247">
        <v>9664565416</v>
      </c>
      <c r="D247" t="s">
        <v>703</v>
      </c>
      <c r="E247" t="s">
        <v>54</v>
      </c>
      <c r="F247" t="s">
        <v>15</v>
      </c>
      <c r="G247" t="s">
        <v>93</v>
      </c>
      <c r="H247" s="1">
        <v>46170</v>
      </c>
      <c r="I247" s="1" t="str">
        <f>TEXT(Lead_Data[[#This Row],[Lead_Date]],"mmmm")</f>
        <v>May</v>
      </c>
      <c r="J247">
        <f ca="1">TODAY()-Lead_Data[[#This Row],[Lead_Date]]</f>
        <v>32</v>
      </c>
      <c r="K247" t="s">
        <v>35</v>
      </c>
      <c r="L247">
        <v>33028</v>
      </c>
      <c r="M247" t="str">
        <f>IF(Lead_Data[[#This Row],[Potential_Value]]&gt;100000,"High","Low")</f>
        <v>Low</v>
      </c>
      <c r="N247" t="s">
        <v>18</v>
      </c>
    </row>
    <row r="248" spans="1:14" x14ac:dyDescent="0.3">
      <c r="A248" t="s">
        <v>704</v>
      </c>
      <c r="B248" t="s">
        <v>705</v>
      </c>
      <c r="C248">
        <v>9386528161</v>
      </c>
      <c r="D248" t="s">
        <v>706</v>
      </c>
      <c r="E248" t="s">
        <v>76</v>
      </c>
      <c r="F248" t="s">
        <v>72</v>
      </c>
      <c r="G248" t="s">
        <v>16</v>
      </c>
      <c r="H248" s="1">
        <v>46079</v>
      </c>
      <c r="I248" s="1" t="str">
        <f>TEXT(Lead_Data[[#This Row],[Lead_Date]],"mmmm")</f>
        <v>February</v>
      </c>
      <c r="J248">
        <f ca="1">TODAY()-Lead_Data[[#This Row],[Lead_Date]]</f>
        <v>123</v>
      </c>
      <c r="K248" t="s">
        <v>35</v>
      </c>
      <c r="L248">
        <v>106158</v>
      </c>
      <c r="M248" t="str">
        <f>IF(Lead_Data[[#This Row],[Potential_Value]]&gt;100000,"High","Low")</f>
        <v>High</v>
      </c>
      <c r="N248" t="s">
        <v>55</v>
      </c>
    </row>
    <row r="249" spans="1:14" x14ac:dyDescent="0.3">
      <c r="A249" t="s">
        <v>707</v>
      </c>
      <c r="B249" t="s">
        <v>708</v>
      </c>
      <c r="C249">
        <v>9572943496</v>
      </c>
      <c r="D249" t="s">
        <v>709</v>
      </c>
      <c r="E249" t="s">
        <v>208</v>
      </c>
      <c r="F249" t="s">
        <v>72</v>
      </c>
      <c r="G249" t="s">
        <v>61</v>
      </c>
      <c r="H249" s="1">
        <v>46102</v>
      </c>
      <c r="I249" s="1" t="str">
        <f>TEXT(Lead_Data[[#This Row],[Lead_Date]],"mmmm")</f>
        <v>March</v>
      </c>
      <c r="J249">
        <f ca="1">TODAY()-Lead_Data[[#This Row],[Lead_Date]]</f>
        <v>100</v>
      </c>
      <c r="K249" t="s">
        <v>31</v>
      </c>
      <c r="L249">
        <v>59493</v>
      </c>
      <c r="M249" t="str">
        <f>IF(Lead_Data[[#This Row],[Potential_Value]]&gt;100000,"High","Low")</f>
        <v>Low</v>
      </c>
      <c r="N249" t="s">
        <v>18</v>
      </c>
    </row>
    <row r="250" spans="1:14" x14ac:dyDescent="0.3">
      <c r="A250" t="s">
        <v>710</v>
      </c>
      <c r="B250" t="s">
        <v>711</v>
      </c>
      <c r="C250">
        <v>9363211205</v>
      </c>
      <c r="D250" t="s">
        <v>712</v>
      </c>
      <c r="E250" t="s">
        <v>65</v>
      </c>
      <c r="F250" t="s">
        <v>72</v>
      </c>
      <c r="G250" t="s">
        <v>93</v>
      </c>
      <c r="H250" s="1">
        <v>46026</v>
      </c>
      <c r="I250" s="1" t="str">
        <f>TEXT(Lead_Data[[#This Row],[Lead_Date]],"mmmm")</f>
        <v>January</v>
      </c>
      <c r="J250">
        <f ca="1">TODAY()-Lead_Data[[#This Row],[Lead_Date]]</f>
        <v>176</v>
      </c>
      <c r="K250" t="s">
        <v>49</v>
      </c>
      <c r="L250">
        <v>155923</v>
      </c>
      <c r="M250" t="str">
        <f>IF(Lead_Data[[#This Row],[Potential_Value]]&gt;100000,"High","Low")</f>
        <v>High</v>
      </c>
      <c r="N250" t="s">
        <v>83</v>
      </c>
    </row>
    <row r="251" spans="1:14" x14ac:dyDescent="0.3">
      <c r="A251" t="s">
        <v>713</v>
      </c>
      <c r="B251" t="s">
        <v>221</v>
      </c>
      <c r="C251">
        <v>9749661910</v>
      </c>
      <c r="D251" t="s">
        <v>714</v>
      </c>
      <c r="E251" t="s">
        <v>208</v>
      </c>
      <c r="F251" t="s">
        <v>72</v>
      </c>
      <c r="G251" t="s">
        <v>16</v>
      </c>
      <c r="H251" s="1">
        <v>46037</v>
      </c>
      <c r="I251" s="1" t="str">
        <f>TEXT(Lead_Data[[#This Row],[Lead_Date]],"mmmm")</f>
        <v>January</v>
      </c>
      <c r="J251">
        <f ca="1">TODAY()-Lead_Data[[#This Row],[Lead_Date]]</f>
        <v>165</v>
      </c>
      <c r="K251" t="s">
        <v>17</v>
      </c>
      <c r="L251">
        <v>168839</v>
      </c>
      <c r="M251" t="str">
        <f>IF(Lead_Data[[#This Row],[Potential_Value]]&gt;100000,"High","Low")</f>
        <v>High</v>
      </c>
      <c r="N251" t="s">
        <v>83</v>
      </c>
    </row>
    <row r="252" spans="1:14" x14ac:dyDescent="0.3">
      <c r="A252" t="s">
        <v>715</v>
      </c>
      <c r="B252" t="s">
        <v>134</v>
      </c>
      <c r="C252">
        <v>9362061337</v>
      </c>
      <c r="D252" t="s">
        <v>716</v>
      </c>
      <c r="E252" t="s">
        <v>65</v>
      </c>
      <c r="F252" t="s">
        <v>41</v>
      </c>
      <c r="G252" t="s">
        <v>30</v>
      </c>
      <c r="H252" s="1">
        <v>46135</v>
      </c>
      <c r="I252" s="1" t="str">
        <f>TEXT(Lead_Data[[#This Row],[Lead_Date]],"mmmm")</f>
        <v>April</v>
      </c>
      <c r="J252">
        <f ca="1">TODAY()-Lead_Data[[#This Row],[Lead_Date]]</f>
        <v>67</v>
      </c>
      <c r="K252" t="s">
        <v>42</v>
      </c>
      <c r="L252">
        <v>69026</v>
      </c>
      <c r="M252" t="str">
        <f>IF(Lead_Data[[#This Row],[Potential_Value]]&gt;100000,"High","Low")</f>
        <v>Low</v>
      </c>
      <c r="N252" t="s">
        <v>50</v>
      </c>
    </row>
    <row r="253" spans="1:14" x14ac:dyDescent="0.3">
      <c r="A253" t="s">
        <v>717</v>
      </c>
      <c r="B253" t="s">
        <v>378</v>
      </c>
      <c r="C253">
        <v>9628834400</v>
      </c>
      <c r="D253" t="s">
        <v>718</v>
      </c>
      <c r="E253" t="s">
        <v>22</v>
      </c>
      <c r="F253" t="s">
        <v>47</v>
      </c>
      <c r="G253" t="s">
        <v>16</v>
      </c>
      <c r="H253" s="1">
        <v>46195</v>
      </c>
      <c r="I253" s="1" t="str">
        <f>TEXT(Lead_Data[[#This Row],[Lead_Date]],"mmmm")</f>
        <v>June</v>
      </c>
      <c r="J253">
        <f ca="1">TODAY()-Lead_Data[[#This Row],[Lead_Date]]</f>
        <v>7</v>
      </c>
      <c r="K253" t="s">
        <v>49</v>
      </c>
      <c r="L253">
        <v>225270</v>
      </c>
      <c r="M253" t="str">
        <f>IF(Lead_Data[[#This Row],[Potential_Value]]&gt;100000,"High","Low")</f>
        <v>High</v>
      </c>
      <c r="N253" t="s">
        <v>18</v>
      </c>
    </row>
    <row r="254" spans="1:14" x14ac:dyDescent="0.3">
      <c r="A254" t="s">
        <v>719</v>
      </c>
      <c r="B254" t="s">
        <v>619</v>
      </c>
      <c r="C254">
        <v>9546061974</v>
      </c>
      <c r="D254" t="s">
        <v>720</v>
      </c>
      <c r="E254" t="s">
        <v>59</v>
      </c>
      <c r="F254" t="s">
        <v>29</v>
      </c>
      <c r="G254" t="s">
        <v>30</v>
      </c>
      <c r="H254" s="1">
        <v>46184</v>
      </c>
      <c r="I254" s="1" t="str">
        <f>TEXT(Lead_Data[[#This Row],[Lead_Date]],"mmmm")</f>
        <v>June</v>
      </c>
      <c r="J254">
        <f ca="1">TODAY()-Lead_Data[[#This Row],[Lead_Date]]</f>
        <v>18</v>
      </c>
      <c r="K254" t="s">
        <v>17</v>
      </c>
      <c r="L254">
        <v>117588</v>
      </c>
      <c r="M254" t="str">
        <f>IF(Lead_Data[[#This Row],[Potential_Value]]&gt;100000,"High","Low")</f>
        <v>High</v>
      </c>
      <c r="N254" t="s">
        <v>18</v>
      </c>
    </row>
    <row r="255" spans="1:14" x14ac:dyDescent="0.3">
      <c r="A255" t="s">
        <v>721</v>
      </c>
      <c r="B255" t="s">
        <v>722</v>
      </c>
      <c r="C255">
        <v>9586767033</v>
      </c>
      <c r="D255" t="s">
        <v>723</v>
      </c>
      <c r="E255" t="s">
        <v>76</v>
      </c>
      <c r="F255" t="s">
        <v>60</v>
      </c>
      <c r="G255" t="s">
        <v>61</v>
      </c>
      <c r="H255" s="1">
        <v>46061</v>
      </c>
      <c r="I255" s="1" t="str">
        <f>TEXT(Lead_Data[[#This Row],[Lead_Date]],"mmmm")</f>
        <v>February</v>
      </c>
      <c r="J255">
        <f ca="1">TODAY()-Lead_Data[[#This Row],[Lead_Date]]</f>
        <v>141</v>
      </c>
      <c r="K255" t="s">
        <v>42</v>
      </c>
      <c r="L255">
        <v>169208</v>
      </c>
      <c r="M255" t="str">
        <f>IF(Lead_Data[[#This Row],[Potential_Value]]&gt;100000,"High","Low")</f>
        <v>High</v>
      </c>
      <c r="N255" t="s">
        <v>36</v>
      </c>
    </row>
    <row r="256" spans="1:14" x14ac:dyDescent="0.3">
      <c r="A256" t="s">
        <v>724</v>
      </c>
      <c r="B256" t="s">
        <v>725</v>
      </c>
      <c r="C256">
        <v>9548663164</v>
      </c>
      <c r="D256" t="s">
        <v>726</v>
      </c>
      <c r="E256" t="s">
        <v>54</v>
      </c>
      <c r="F256" t="s">
        <v>15</v>
      </c>
      <c r="G256" t="s">
        <v>48</v>
      </c>
      <c r="H256" s="1">
        <v>46113</v>
      </c>
      <c r="I256" s="1" t="str">
        <f>TEXT(Lead_Data[[#This Row],[Lead_Date]],"mmmm")</f>
        <v>April</v>
      </c>
      <c r="J256">
        <f ca="1">TODAY()-Lead_Data[[#This Row],[Lead_Date]]</f>
        <v>89</v>
      </c>
      <c r="K256" t="s">
        <v>42</v>
      </c>
      <c r="L256">
        <v>155582</v>
      </c>
      <c r="M256" t="str">
        <f>IF(Lead_Data[[#This Row],[Potential_Value]]&gt;100000,"High","Low")</f>
        <v>High</v>
      </c>
      <c r="N256" t="s">
        <v>18</v>
      </c>
    </row>
    <row r="257" spans="1:14" x14ac:dyDescent="0.3">
      <c r="A257" t="s">
        <v>727</v>
      </c>
      <c r="B257" t="s">
        <v>346</v>
      </c>
      <c r="C257">
        <v>9877048440</v>
      </c>
      <c r="D257" t="s">
        <v>728</v>
      </c>
      <c r="E257" t="s">
        <v>46</v>
      </c>
      <c r="F257" t="s">
        <v>15</v>
      </c>
      <c r="G257" t="s">
        <v>93</v>
      </c>
      <c r="H257" s="1">
        <v>46120</v>
      </c>
      <c r="I257" s="1" t="str">
        <f>TEXT(Lead_Data[[#This Row],[Lead_Date]],"mmmm")</f>
        <v>April</v>
      </c>
      <c r="J257">
        <f ca="1">TODAY()-Lead_Data[[#This Row],[Lead_Date]]</f>
        <v>82</v>
      </c>
      <c r="K257" t="s">
        <v>42</v>
      </c>
      <c r="L257">
        <v>89700</v>
      </c>
      <c r="M257" t="str">
        <f>IF(Lead_Data[[#This Row],[Potential_Value]]&gt;100000,"High","Low")</f>
        <v>Low</v>
      </c>
      <c r="N257" t="s">
        <v>50</v>
      </c>
    </row>
    <row r="258" spans="1:14" x14ac:dyDescent="0.3">
      <c r="A258" t="s">
        <v>729</v>
      </c>
      <c r="B258" t="s">
        <v>730</v>
      </c>
      <c r="C258">
        <v>9341130092</v>
      </c>
      <c r="D258" t="s">
        <v>731</v>
      </c>
      <c r="E258" t="s">
        <v>65</v>
      </c>
      <c r="F258" t="s">
        <v>15</v>
      </c>
      <c r="G258" t="s">
        <v>16</v>
      </c>
      <c r="H258" s="1">
        <v>46045</v>
      </c>
      <c r="I258" s="1" t="str">
        <f>TEXT(Lead_Data[[#This Row],[Lead_Date]],"mmmm")</f>
        <v>January</v>
      </c>
      <c r="J258">
        <f ca="1">TODAY()-Lead_Data[[#This Row],[Lead_Date]]</f>
        <v>157</v>
      </c>
      <c r="K258" t="s">
        <v>31</v>
      </c>
      <c r="L258">
        <v>95411</v>
      </c>
      <c r="M258" t="str">
        <f>IF(Lead_Data[[#This Row],[Potential_Value]]&gt;100000,"High","Low")</f>
        <v>Low</v>
      </c>
      <c r="N258" t="s">
        <v>50</v>
      </c>
    </row>
    <row r="259" spans="1:14" x14ac:dyDescent="0.3">
      <c r="A259" t="s">
        <v>732</v>
      </c>
      <c r="B259" t="s">
        <v>466</v>
      </c>
      <c r="C259">
        <v>9813432649</v>
      </c>
      <c r="D259" t="s">
        <v>733</v>
      </c>
      <c r="E259" t="s">
        <v>54</v>
      </c>
      <c r="F259" t="s">
        <v>47</v>
      </c>
      <c r="G259" t="s">
        <v>48</v>
      </c>
      <c r="H259" s="1">
        <v>46035</v>
      </c>
      <c r="I259" s="1" t="str">
        <f>TEXT(Lead_Data[[#This Row],[Lead_Date]],"mmmm")</f>
        <v>January</v>
      </c>
      <c r="J259">
        <f ca="1">TODAY()-Lead_Data[[#This Row],[Lead_Date]]</f>
        <v>167</v>
      </c>
      <c r="K259" t="s">
        <v>49</v>
      </c>
      <c r="L259">
        <v>150625</v>
      </c>
      <c r="M259" t="str">
        <f>IF(Lead_Data[[#This Row],[Potential_Value]]&gt;100000,"High","Low")</f>
        <v>High</v>
      </c>
      <c r="N259" t="s">
        <v>83</v>
      </c>
    </row>
    <row r="260" spans="1:14" x14ac:dyDescent="0.3">
      <c r="A260" t="s">
        <v>734</v>
      </c>
      <c r="B260" t="s">
        <v>456</v>
      </c>
      <c r="C260">
        <v>9379426217</v>
      </c>
      <c r="D260" t="s">
        <v>735</v>
      </c>
      <c r="E260" t="s">
        <v>76</v>
      </c>
      <c r="F260" t="s">
        <v>29</v>
      </c>
      <c r="G260" t="s">
        <v>48</v>
      </c>
      <c r="H260" s="1">
        <v>46198</v>
      </c>
      <c r="I260" s="1" t="str">
        <f>TEXT(Lead_Data[[#This Row],[Lead_Date]],"mmmm")</f>
        <v>June</v>
      </c>
      <c r="J260">
        <f ca="1">TODAY()-Lead_Data[[#This Row],[Lead_Date]]</f>
        <v>4</v>
      </c>
      <c r="K260" t="s">
        <v>49</v>
      </c>
      <c r="L260">
        <v>20672</v>
      </c>
      <c r="M260" t="str">
        <f>IF(Lead_Data[[#This Row],[Potential_Value]]&gt;100000,"High","Low")</f>
        <v>Low</v>
      </c>
      <c r="N260" t="s">
        <v>18</v>
      </c>
    </row>
    <row r="261" spans="1:14" x14ac:dyDescent="0.3">
      <c r="A261" t="s">
        <v>736</v>
      </c>
      <c r="B261" t="s">
        <v>116</v>
      </c>
      <c r="C261">
        <v>9819162909</v>
      </c>
      <c r="D261" t="s">
        <v>737</v>
      </c>
      <c r="E261" t="s">
        <v>22</v>
      </c>
      <c r="F261" t="s">
        <v>23</v>
      </c>
      <c r="G261" t="s">
        <v>48</v>
      </c>
      <c r="H261" s="1">
        <v>46157</v>
      </c>
      <c r="I261" s="1" t="str">
        <f>TEXT(Lead_Data[[#This Row],[Lead_Date]],"mmmm")</f>
        <v>May</v>
      </c>
      <c r="J261">
        <f ca="1">TODAY()-Lead_Data[[#This Row],[Lead_Date]]</f>
        <v>45</v>
      </c>
      <c r="K261" t="s">
        <v>49</v>
      </c>
      <c r="L261">
        <v>141310</v>
      </c>
      <c r="M261" t="str">
        <f>IF(Lead_Data[[#This Row],[Potential_Value]]&gt;100000,"High","Low")</f>
        <v>High</v>
      </c>
      <c r="N261" t="s">
        <v>55</v>
      </c>
    </row>
    <row r="262" spans="1:14" x14ac:dyDescent="0.3">
      <c r="A262" t="s">
        <v>738</v>
      </c>
      <c r="B262" t="s">
        <v>625</v>
      </c>
      <c r="C262">
        <v>9735261681</v>
      </c>
      <c r="D262" t="s">
        <v>739</v>
      </c>
      <c r="E262" t="s">
        <v>46</v>
      </c>
      <c r="F262" t="s">
        <v>29</v>
      </c>
      <c r="G262" t="s">
        <v>48</v>
      </c>
      <c r="H262" s="1">
        <v>46130</v>
      </c>
      <c r="I262" s="1" t="str">
        <f>TEXT(Lead_Data[[#This Row],[Lead_Date]],"mmmm")</f>
        <v>April</v>
      </c>
      <c r="J262">
        <f ca="1">TODAY()-Lead_Data[[#This Row],[Lead_Date]]</f>
        <v>72</v>
      </c>
      <c r="K262" t="s">
        <v>42</v>
      </c>
      <c r="L262">
        <v>245707</v>
      </c>
      <c r="M262" t="str">
        <f>IF(Lead_Data[[#This Row],[Potential_Value]]&gt;100000,"High","Low")</f>
        <v>High</v>
      </c>
      <c r="N262" t="s">
        <v>18</v>
      </c>
    </row>
    <row r="263" spans="1:14" x14ac:dyDescent="0.3">
      <c r="A263" t="s">
        <v>740</v>
      </c>
      <c r="B263" t="s">
        <v>298</v>
      </c>
      <c r="C263">
        <v>9832913962</v>
      </c>
      <c r="D263" t="s">
        <v>741</v>
      </c>
      <c r="E263" t="s">
        <v>65</v>
      </c>
      <c r="F263" t="s">
        <v>15</v>
      </c>
      <c r="G263" t="s">
        <v>30</v>
      </c>
      <c r="H263" s="1">
        <v>46115</v>
      </c>
      <c r="I263" s="1" t="str">
        <f>TEXT(Lead_Data[[#This Row],[Lead_Date]],"mmmm")</f>
        <v>April</v>
      </c>
      <c r="J263">
        <f ca="1">TODAY()-Lead_Data[[#This Row],[Lead_Date]]</f>
        <v>87</v>
      </c>
      <c r="K263" t="s">
        <v>49</v>
      </c>
      <c r="L263">
        <v>144373</v>
      </c>
      <c r="M263" t="str">
        <f>IF(Lead_Data[[#This Row],[Potential_Value]]&gt;100000,"High","Low")</f>
        <v>High</v>
      </c>
      <c r="N263" t="s">
        <v>50</v>
      </c>
    </row>
    <row r="264" spans="1:14" x14ac:dyDescent="0.3">
      <c r="A264" t="s">
        <v>742</v>
      </c>
      <c r="B264" t="s">
        <v>743</v>
      </c>
      <c r="C264">
        <v>9656084341</v>
      </c>
      <c r="D264" t="s">
        <v>744</v>
      </c>
      <c r="E264" t="s">
        <v>76</v>
      </c>
      <c r="F264" t="s">
        <v>41</v>
      </c>
      <c r="G264" t="s">
        <v>93</v>
      </c>
      <c r="H264" s="1">
        <v>46153</v>
      </c>
      <c r="I264" s="1" t="str">
        <f>TEXT(Lead_Data[[#This Row],[Lead_Date]],"mmmm")</f>
        <v>May</v>
      </c>
      <c r="J264">
        <f ca="1">TODAY()-Lead_Data[[#This Row],[Lead_Date]]</f>
        <v>49</v>
      </c>
      <c r="K264" t="s">
        <v>42</v>
      </c>
      <c r="L264">
        <v>86002</v>
      </c>
      <c r="M264" t="str">
        <f>IF(Lead_Data[[#This Row],[Potential_Value]]&gt;100000,"High","Low")</f>
        <v>Low</v>
      </c>
      <c r="N264" t="s">
        <v>18</v>
      </c>
    </row>
    <row r="265" spans="1:14" x14ac:dyDescent="0.3">
      <c r="A265" t="s">
        <v>745</v>
      </c>
      <c r="B265" t="s">
        <v>113</v>
      </c>
      <c r="C265">
        <v>9765332548</v>
      </c>
      <c r="D265" t="s">
        <v>746</v>
      </c>
      <c r="E265" t="s">
        <v>208</v>
      </c>
      <c r="F265" t="s">
        <v>41</v>
      </c>
      <c r="G265" t="s">
        <v>16</v>
      </c>
      <c r="H265" s="1">
        <v>46069</v>
      </c>
      <c r="I265" s="1" t="str">
        <f>TEXT(Lead_Data[[#This Row],[Lead_Date]],"mmmm")</f>
        <v>February</v>
      </c>
      <c r="J265">
        <f ca="1">TODAY()-Lead_Data[[#This Row],[Lead_Date]]</f>
        <v>133</v>
      </c>
      <c r="K265" t="s">
        <v>42</v>
      </c>
      <c r="L265">
        <v>37949</v>
      </c>
      <c r="M265" t="str">
        <f>IF(Lead_Data[[#This Row],[Potential_Value]]&gt;100000,"High","Low")</f>
        <v>Low</v>
      </c>
      <c r="N265" t="s">
        <v>83</v>
      </c>
    </row>
    <row r="266" spans="1:14" x14ac:dyDescent="0.3">
      <c r="A266" t="s">
        <v>747</v>
      </c>
      <c r="B266" t="s">
        <v>748</v>
      </c>
      <c r="C266">
        <v>9865219539</v>
      </c>
      <c r="D266" t="s">
        <v>749</v>
      </c>
      <c r="E266" t="s">
        <v>208</v>
      </c>
      <c r="F266" t="s">
        <v>15</v>
      </c>
      <c r="G266" t="s">
        <v>16</v>
      </c>
      <c r="H266" s="1">
        <v>46025</v>
      </c>
      <c r="I266" s="1" t="str">
        <f>TEXT(Lead_Data[[#This Row],[Lead_Date]],"mmmm")</f>
        <v>January</v>
      </c>
      <c r="J266">
        <f ca="1">TODAY()-Lead_Data[[#This Row],[Lead_Date]]</f>
        <v>177</v>
      </c>
      <c r="K266" t="s">
        <v>17</v>
      </c>
      <c r="L266">
        <v>89811</v>
      </c>
      <c r="M266" t="str">
        <f>IF(Lead_Data[[#This Row],[Potential_Value]]&gt;100000,"High","Low")</f>
        <v>Low</v>
      </c>
      <c r="N266" t="s">
        <v>55</v>
      </c>
    </row>
    <row r="267" spans="1:14" x14ac:dyDescent="0.3">
      <c r="A267" t="s">
        <v>750</v>
      </c>
      <c r="B267" t="s">
        <v>292</v>
      </c>
      <c r="C267">
        <v>9836393970</v>
      </c>
      <c r="D267" t="s">
        <v>751</v>
      </c>
      <c r="E267" t="s">
        <v>46</v>
      </c>
      <c r="F267" t="s">
        <v>60</v>
      </c>
      <c r="G267" t="s">
        <v>16</v>
      </c>
      <c r="H267" s="1">
        <v>46067</v>
      </c>
      <c r="I267" s="1" t="str">
        <f>TEXT(Lead_Data[[#This Row],[Lead_Date]],"mmmm")</f>
        <v>February</v>
      </c>
      <c r="J267">
        <f ca="1">TODAY()-Lead_Data[[#This Row],[Lead_Date]]</f>
        <v>135</v>
      </c>
      <c r="K267" t="s">
        <v>42</v>
      </c>
      <c r="L267">
        <v>79735</v>
      </c>
      <c r="M267" t="str">
        <f>IF(Lead_Data[[#This Row],[Potential_Value]]&gt;100000,"High","Low")</f>
        <v>Low</v>
      </c>
      <c r="N267" t="s">
        <v>18</v>
      </c>
    </row>
    <row r="268" spans="1:14" x14ac:dyDescent="0.3">
      <c r="A268" t="s">
        <v>752</v>
      </c>
      <c r="B268" t="s">
        <v>702</v>
      </c>
      <c r="C268">
        <v>9765176970</v>
      </c>
      <c r="D268" t="s">
        <v>753</v>
      </c>
      <c r="E268" t="s">
        <v>14</v>
      </c>
      <c r="F268" t="s">
        <v>72</v>
      </c>
      <c r="G268" t="s">
        <v>93</v>
      </c>
      <c r="H268" s="1">
        <v>46177</v>
      </c>
      <c r="I268" s="1" t="str">
        <f>TEXT(Lead_Data[[#This Row],[Lead_Date]],"mmmm")</f>
        <v>June</v>
      </c>
      <c r="J268">
        <f ca="1">TODAY()-Lead_Data[[#This Row],[Lead_Date]]</f>
        <v>25</v>
      </c>
      <c r="K268" t="s">
        <v>42</v>
      </c>
      <c r="L268">
        <v>209097</v>
      </c>
      <c r="M268" t="str">
        <f>IF(Lead_Data[[#This Row],[Potential_Value]]&gt;100000,"High","Low")</f>
        <v>High</v>
      </c>
      <c r="N268" t="s">
        <v>18</v>
      </c>
    </row>
    <row r="269" spans="1:14" x14ac:dyDescent="0.3">
      <c r="A269" t="s">
        <v>754</v>
      </c>
      <c r="B269" t="s">
        <v>699</v>
      </c>
      <c r="C269">
        <v>9832888925</v>
      </c>
      <c r="D269" t="s">
        <v>755</v>
      </c>
      <c r="E269" t="s">
        <v>46</v>
      </c>
      <c r="F269" t="s">
        <v>60</v>
      </c>
      <c r="G269" t="s">
        <v>48</v>
      </c>
      <c r="H269" s="1">
        <v>46156</v>
      </c>
      <c r="I269" s="1" t="str">
        <f>TEXT(Lead_Data[[#This Row],[Lead_Date]],"mmmm")</f>
        <v>May</v>
      </c>
      <c r="J269">
        <f ca="1">TODAY()-Lead_Data[[#This Row],[Lead_Date]]</f>
        <v>46</v>
      </c>
      <c r="K269" t="s">
        <v>42</v>
      </c>
      <c r="L269">
        <v>122884</v>
      </c>
      <c r="M269" t="str">
        <f>IF(Lead_Data[[#This Row],[Potential_Value]]&gt;100000,"High","Low")</f>
        <v>High</v>
      </c>
      <c r="N269" t="s">
        <v>36</v>
      </c>
    </row>
    <row r="270" spans="1:14" x14ac:dyDescent="0.3">
      <c r="A270" t="s">
        <v>756</v>
      </c>
      <c r="B270" t="s">
        <v>757</v>
      </c>
      <c r="C270">
        <v>9353328428</v>
      </c>
      <c r="D270" t="s">
        <v>758</v>
      </c>
      <c r="E270" t="s">
        <v>22</v>
      </c>
      <c r="F270" t="s">
        <v>15</v>
      </c>
      <c r="G270" t="s">
        <v>61</v>
      </c>
      <c r="H270" s="1">
        <v>46059</v>
      </c>
      <c r="I270" s="1" t="str">
        <f>TEXT(Lead_Data[[#This Row],[Lead_Date]],"mmmm")</f>
        <v>February</v>
      </c>
      <c r="J270">
        <f ca="1">TODAY()-Lead_Data[[#This Row],[Lead_Date]]</f>
        <v>143</v>
      </c>
      <c r="K270" t="s">
        <v>31</v>
      </c>
      <c r="L270">
        <v>18622</v>
      </c>
      <c r="M270" t="str">
        <f>IF(Lead_Data[[#This Row],[Potential_Value]]&gt;100000,"High","Low")</f>
        <v>Low</v>
      </c>
      <c r="N270" t="s">
        <v>83</v>
      </c>
    </row>
    <row r="271" spans="1:14" x14ac:dyDescent="0.3">
      <c r="A271" t="s">
        <v>759</v>
      </c>
      <c r="B271" t="s">
        <v>545</v>
      </c>
      <c r="C271">
        <v>9318458742</v>
      </c>
      <c r="D271" t="s">
        <v>760</v>
      </c>
      <c r="E271" t="s">
        <v>22</v>
      </c>
      <c r="F271" t="s">
        <v>29</v>
      </c>
      <c r="G271" t="s">
        <v>16</v>
      </c>
      <c r="H271" s="1">
        <v>46112</v>
      </c>
      <c r="I271" s="1" t="str">
        <f>TEXT(Lead_Data[[#This Row],[Lead_Date]],"mmmm")</f>
        <v>March</v>
      </c>
      <c r="J271">
        <f ca="1">TODAY()-Lead_Data[[#This Row],[Lead_Date]]</f>
        <v>90</v>
      </c>
      <c r="K271" t="s">
        <v>24</v>
      </c>
      <c r="L271">
        <v>15124</v>
      </c>
      <c r="M271" t="str">
        <f>IF(Lead_Data[[#This Row],[Potential_Value]]&gt;100000,"High","Low")</f>
        <v>Low</v>
      </c>
      <c r="N271" t="s">
        <v>36</v>
      </c>
    </row>
    <row r="272" spans="1:14" x14ac:dyDescent="0.3">
      <c r="A272" t="s">
        <v>761</v>
      </c>
      <c r="B272" t="s">
        <v>762</v>
      </c>
      <c r="C272">
        <v>9315895327</v>
      </c>
      <c r="D272" t="s">
        <v>763</v>
      </c>
      <c r="E272" t="s">
        <v>208</v>
      </c>
      <c r="F272" t="s">
        <v>47</v>
      </c>
      <c r="G272" t="s">
        <v>93</v>
      </c>
      <c r="H272" s="1">
        <v>46135</v>
      </c>
      <c r="I272" s="1" t="str">
        <f>TEXT(Lead_Data[[#This Row],[Lead_Date]],"mmmm")</f>
        <v>April</v>
      </c>
      <c r="J272">
        <f ca="1">TODAY()-Lead_Data[[#This Row],[Lead_Date]]</f>
        <v>67</v>
      </c>
      <c r="K272" t="s">
        <v>31</v>
      </c>
      <c r="L272">
        <v>68431</v>
      </c>
      <c r="M272" t="str">
        <f>IF(Lead_Data[[#This Row],[Potential_Value]]&gt;100000,"High","Low")</f>
        <v>Low</v>
      </c>
      <c r="N272" t="s">
        <v>36</v>
      </c>
    </row>
    <row r="273" spans="1:14" x14ac:dyDescent="0.3">
      <c r="A273" t="s">
        <v>764</v>
      </c>
      <c r="B273" t="s">
        <v>765</v>
      </c>
      <c r="C273">
        <v>9752250868</v>
      </c>
      <c r="D273" t="s">
        <v>766</v>
      </c>
      <c r="E273" t="s">
        <v>46</v>
      </c>
      <c r="F273" t="s">
        <v>15</v>
      </c>
      <c r="G273" t="s">
        <v>48</v>
      </c>
      <c r="H273" s="1">
        <v>46024</v>
      </c>
      <c r="I273" s="1" t="str">
        <f>TEXT(Lead_Data[[#This Row],[Lead_Date]],"mmmm")</f>
        <v>January</v>
      </c>
      <c r="J273">
        <f ca="1">TODAY()-Lead_Data[[#This Row],[Lead_Date]]</f>
        <v>178</v>
      </c>
      <c r="K273" t="s">
        <v>42</v>
      </c>
      <c r="L273">
        <v>76051</v>
      </c>
      <c r="M273" t="str">
        <f>IF(Lead_Data[[#This Row],[Potential_Value]]&gt;100000,"High","Low")</f>
        <v>Low</v>
      </c>
      <c r="N273" t="s">
        <v>55</v>
      </c>
    </row>
    <row r="274" spans="1:14" x14ac:dyDescent="0.3">
      <c r="A274" t="s">
        <v>767</v>
      </c>
      <c r="B274" t="s">
        <v>289</v>
      </c>
      <c r="C274">
        <v>9588493240</v>
      </c>
      <c r="D274" t="s">
        <v>768</v>
      </c>
      <c r="E274" t="s">
        <v>76</v>
      </c>
      <c r="F274" t="s">
        <v>15</v>
      </c>
      <c r="G274" t="s">
        <v>48</v>
      </c>
      <c r="H274" s="1">
        <v>46079</v>
      </c>
      <c r="I274" s="1" t="str">
        <f>TEXT(Lead_Data[[#This Row],[Lead_Date]],"mmmm")</f>
        <v>February</v>
      </c>
      <c r="J274">
        <f ca="1">TODAY()-Lead_Data[[#This Row],[Lead_Date]]</f>
        <v>123</v>
      </c>
      <c r="K274" t="s">
        <v>35</v>
      </c>
      <c r="L274">
        <v>136979</v>
      </c>
      <c r="M274" t="str">
        <f>IF(Lead_Data[[#This Row],[Potential_Value]]&gt;100000,"High","Low")</f>
        <v>High</v>
      </c>
      <c r="N274" t="s">
        <v>36</v>
      </c>
    </row>
    <row r="275" spans="1:14" x14ac:dyDescent="0.3">
      <c r="A275" t="s">
        <v>769</v>
      </c>
      <c r="B275" t="s">
        <v>171</v>
      </c>
      <c r="C275">
        <v>9758103103</v>
      </c>
      <c r="D275" t="s">
        <v>770</v>
      </c>
      <c r="E275" t="s">
        <v>59</v>
      </c>
      <c r="F275" t="s">
        <v>23</v>
      </c>
      <c r="G275" t="s">
        <v>61</v>
      </c>
      <c r="H275" s="1">
        <v>46120</v>
      </c>
      <c r="I275" s="1" t="str">
        <f>TEXT(Lead_Data[[#This Row],[Lead_Date]],"mmmm")</f>
        <v>April</v>
      </c>
      <c r="J275">
        <f ca="1">TODAY()-Lead_Data[[#This Row],[Lead_Date]]</f>
        <v>82</v>
      </c>
      <c r="K275" t="s">
        <v>24</v>
      </c>
      <c r="L275">
        <v>157202</v>
      </c>
      <c r="M275" t="str">
        <f>IF(Lead_Data[[#This Row],[Potential_Value]]&gt;100000,"High","Low")</f>
        <v>High</v>
      </c>
      <c r="N275" t="s">
        <v>83</v>
      </c>
    </row>
    <row r="276" spans="1:14" x14ac:dyDescent="0.3">
      <c r="A276" t="s">
        <v>771</v>
      </c>
      <c r="B276" t="s">
        <v>669</v>
      </c>
      <c r="C276">
        <v>9555081096</v>
      </c>
      <c r="D276" t="s">
        <v>772</v>
      </c>
      <c r="E276" t="s">
        <v>14</v>
      </c>
      <c r="F276" t="s">
        <v>23</v>
      </c>
      <c r="G276" t="s">
        <v>48</v>
      </c>
      <c r="H276" s="1">
        <v>46126</v>
      </c>
      <c r="I276" s="1" t="str">
        <f>TEXT(Lead_Data[[#This Row],[Lead_Date]],"mmmm")</f>
        <v>April</v>
      </c>
      <c r="J276">
        <f ca="1">TODAY()-Lead_Data[[#This Row],[Lead_Date]]</f>
        <v>76</v>
      </c>
      <c r="K276" t="s">
        <v>49</v>
      </c>
      <c r="L276">
        <v>155186</v>
      </c>
      <c r="M276" t="str">
        <f>IF(Lead_Data[[#This Row],[Potential_Value]]&gt;100000,"High","Low")</f>
        <v>High</v>
      </c>
      <c r="N276" t="s">
        <v>50</v>
      </c>
    </row>
    <row r="277" spans="1:14" x14ac:dyDescent="0.3">
      <c r="A277" t="s">
        <v>773</v>
      </c>
      <c r="B277" t="s">
        <v>774</v>
      </c>
      <c r="C277">
        <v>9656235195</v>
      </c>
      <c r="D277" t="s">
        <v>775</v>
      </c>
      <c r="E277" t="s">
        <v>76</v>
      </c>
      <c r="F277" t="s">
        <v>23</v>
      </c>
      <c r="G277" t="s">
        <v>61</v>
      </c>
      <c r="H277" s="1">
        <v>46083</v>
      </c>
      <c r="I277" s="1" t="str">
        <f>TEXT(Lead_Data[[#This Row],[Lead_Date]],"mmmm")</f>
        <v>March</v>
      </c>
      <c r="J277">
        <f ca="1">TODAY()-Lead_Data[[#This Row],[Lead_Date]]</f>
        <v>119</v>
      </c>
      <c r="K277" t="s">
        <v>35</v>
      </c>
      <c r="L277">
        <v>16628</v>
      </c>
      <c r="M277" t="str">
        <f>IF(Lead_Data[[#This Row],[Potential_Value]]&gt;100000,"High","Low")</f>
        <v>Low</v>
      </c>
      <c r="N277" t="s">
        <v>83</v>
      </c>
    </row>
    <row r="278" spans="1:14" x14ac:dyDescent="0.3">
      <c r="A278" t="s">
        <v>776</v>
      </c>
      <c r="B278" t="s">
        <v>777</v>
      </c>
      <c r="C278">
        <v>9722432763</v>
      </c>
      <c r="D278" t="s">
        <v>778</v>
      </c>
      <c r="E278" t="s">
        <v>54</v>
      </c>
      <c r="F278" t="s">
        <v>47</v>
      </c>
      <c r="G278" t="s">
        <v>93</v>
      </c>
      <c r="H278" s="1">
        <v>46073</v>
      </c>
      <c r="I278" s="1" t="str">
        <f>TEXT(Lead_Data[[#This Row],[Lead_Date]],"mmmm")</f>
        <v>February</v>
      </c>
      <c r="J278">
        <f ca="1">TODAY()-Lead_Data[[#This Row],[Lead_Date]]</f>
        <v>129</v>
      </c>
      <c r="K278" t="s">
        <v>42</v>
      </c>
      <c r="L278">
        <v>126210</v>
      </c>
      <c r="M278" t="str">
        <f>IF(Lead_Data[[#This Row],[Potential_Value]]&gt;100000,"High","Low")</f>
        <v>High</v>
      </c>
      <c r="N278" t="s">
        <v>55</v>
      </c>
    </row>
    <row r="279" spans="1:14" x14ac:dyDescent="0.3">
      <c r="A279" t="s">
        <v>779</v>
      </c>
      <c r="B279" t="s">
        <v>81</v>
      </c>
      <c r="C279">
        <v>9639054938</v>
      </c>
      <c r="D279" t="s">
        <v>780</v>
      </c>
      <c r="E279" t="s">
        <v>76</v>
      </c>
      <c r="F279" t="s">
        <v>41</v>
      </c>
      <c r="G279" t="s">
        <v>16</v>
      </c>
      <c r="H279" s="1">
        <v>46126</v>
      </c>
      <c r="I279" s="1" t="str">
        <f>TEXT(Lead_Data[[#This Row],[Lead_Date]],"mmmm")</f>
        <v>April</v>
      </c>
      <c r="J279">
        <f ca="1">TODAY()-Lead_Data[[#This Row],[Lead_Date]]</f>
        <v>76</v>
      </c>
      <c r="K279" t="s">
        <v>31</v>
      </c>
      <c r="L279">
        <v>87923</v>
      </c>
      <c r="M279" t="str">
        <f>IF(Lead_Data[[#This Row],[Potential_Value]]&gt;100000,"High","Low")</f>
        <v>Low</v>
      </c>
      <c r="N279" t="s">
        <v>55</v>
      </c>
    </row>
    <row r="280" spans="1:14" x14ac:dyDescent="0.3">
      <c r="A280" t="s">
        <v>781</v>
      </c>
      <c r="B280" t="s">
        <v>782</v>
      </c>
      <c r="C280">
        <v>9527575120</v>
      </c>
      <c r="D280" t="s">
        <v>783</v>
      </c>
      <c r="E280" t="s">
        <v>28</v>
      </c>
      <c r="F280" t="s">
        <v>29</v>
      </c>
      <c r="G280" t="s">
        <v>16</v>
      </c>
      <c r="H280" s="1">
        <v>46089</v>
      </c>
      <c r="I280" s="1" t="str">
        <f>TEXT(Lead_Data[[#This Row],[Lead_Date]],"mmmm")</f>
        <v>March</v>
      </c>
      <c r="J280">
        <f ca="1">TODAY()-Lead_Data[[#This Row],[Lead_Date]]</f>
        <v>113</v>
      </c>
      <c r="K280" t="s">
        <v>49</v>
      </c>
      <c r="L280">
        <v>150158</v>
      </c>
      <c r="M280" t="str">
        <f>IF(Lead_Data[[#This Row],[Potential_Value]]&gt;100000,"High","Low")</f>
        <v>High</v>
      </c>
      <c r="N280" t="s">
        <v>50</v>
      </c>
    </row>
    <row r="281" spans="1:14" x14ac:dyDescent="0.3">
      <c r="A281" t="s">
        <v>784</v>
      </c>
      <c r="B281" t="s">
        <v>591</v>
      </c>
      <c r="C281">
        <v>9726846561</v>
      </c>
      <c r="D281" t="s">
        <v>785</v>
      </c>
      <c r="E281" t="s">
        <v>40</v>
      </c>
      <c r="F281" t="s">
        <v>23</v>
      </c>
      <c r="G281" t="s">
        <v>16</v>
      </c>
      <c r="H281" s="1">
        <v>46054</v>
      </c>
      <c r="I281" s="1" t="str">
        <f>TEXT(Lead_Data[[#This Row],[Lead_Date]],"mmmm")</f>
        <v>February</v>
      </c>
      <c r="J281">
        <f ca="1">TODAY()-Lead_Data[[#This Row],[Lead_Date]]</f>
        <v>148</v>
      </c>
      <c r="K281" t="s">
        <v>49</v>
      </c>
      <c r="L281">
        <v>202921</v>
      </c>
      <c r="M281" t="str">
        <f>IF(Lead_Data[[#This Row],[Potential_Value]]&gt;100000,"High","Low")</f>
        <v>High</v>
      </c>
      <c r="N281" t="s">
        <v>55</v>
      </c>
    </row>
    <row r="282" spans="1:14" x14ac:dyDescent="0.3">
      <c r="A282" t="s">
        <v>786</v>
      </c>
      <c r="B282" t="s">
        <v>757</v>
      </c>
      <c r="C282">
        <v>9329470941</v>
      </c>
      <c r="D282" t="s">
        <v>787</v>
      </c>
      <c r="E282" t="s">
        <v>208</v>
      </c>
      <c r="F282" t="s">
        <v>29</v>
      </c>
      <c r="G282" t="s">
        <v>30</v>
      </c>
      <c r="H282" s="1">
        <v>46102</v>
      </c>
      <c r="I282" s="1" t="str">
        <f>TEXT(Lead_Data[[#This Row],[Lead_Date]],"mmmm")</f>
        <v>March</v>
      </c>
      <c r="J282">
        <f ca="1">TODAY()-Lead_Data[[#This Row],[Lead_Date]]</f>
        <v>100</v>
      </c>
      <c r="K282" t="s">
        <v>35</v>
      </c>
      <c r="L282">
        <v>56411</v>
      </c>
      <c r="M282" t="str">
        <f>IF(Lead_Data[[#This Row],[Potential_Value]]&gt;100000,"High","Low")</f>
        <v>Low</v>
      </c>
      <c r="N282" t="s">
        <v>50</v>
      </c>
    </row>
    <row r="283" spans="1:14" x14ac:dyDescent="0.3">
      <c r="A283" t="s">
        <v>788</v>
      </c>
      <c r="B283" t="s">
        <v>789</v>
      </c>
      <c r="C283">
        <v>9819137650</v>
      </c>
      <c r="D283" t="s">
        <v>790</v>
      </c>
      <c r="E283" t="s">
        <v>65</v>
      </c>
      <c r="F283" t="s">
        <v>60</v>
      </c>
      <c r="G283" t="s">
        <v>16</v>
      </c>
      <c r="H283" s="1">
        <v>46166</v>
      </c>
      <c r="I283" s="1" t="str">
        <f>TEXT(Lead_Data[[#This Row],[Lead_Date]],"mmmm")</f>
        <v>May</v>
      </c>
      <c r="J283">
        <f ca="1">TODAY()-Lead_Data[[#This Row],[Lead_Date]]</f>
        <v>36</v>
      </c>
      <c r="K283" t="s">
        <v>49</v>
      </c>
      <c r="L283">
        <v>60547</v>
      </c>
      <c r="M283" t="str">
        <f>IF(Lead_Data[[#This Row],[Potential_Value]]&gt;100000,"High","Low")</f>
        <v>Low</v>
      </c>
      <c r="N283" t="s">
        <v>36</v>
      </c>
    </row>
    <row r="284" spans="1:14" x14ac:dyDescent="0.3">
      <c r="A284" t="s">
        <v>791</v>
      </c>
      <c r="B284" t="s">
        <v>555</v>
      </c>
      <c r="C284">
        <v>9626929227</v>
      </c>
      <c r="D284" t="s">
        <v>792</v>
      </c>
      <c r="E284" t="s">
        <v>54</v>
      </c>
      <c r="F284" t="s">
        <v>15</v>
      </c>
      <c r="G284" t="s">
        <v>48</v>
      </c>
      <c r="H284" s="1">
        <v>46125</v>
      </c>
      <c r="I284" s="1" t="str">
        <f>TEXT(Lead_Data[[#This Row],[Lead_Date]],"mmmm")</f>
        <v>April</v>
      </c>
      <c r="J284">
        <f ca="1">TODAY()-Lead_Data[[#This Row],[Lead_Date]]</f>
        <v>77</v>
      </c>
      <c r="K284" t="s">
        <v>24</v>
      </c>
      <c r="L284">
        <v>213160</v>
      </c>
      <c r="M284" t="str">
        <f>IF(Lead_Data[[#This Row],[Potential_Value]]&gt;100000,"High","Low")</f>
        <v>High</v>
      </c>
      <c r="N284" t="s">
        <v>50</v>
      </c>
    </row>
    <row r="285" spans="1:14" x14ac:dyDescent="0.3">
      <c r="A285" t="s">
        <v>793</v>
      </c>
      <c r="B285" t="s">
        <v>794</v>
      </c>
      <c r="C285">
        <v>9699068297</v>
      </c>
      <c r="D285" t="s">
        <v>795</v>
      </c>
      <c r="E285" t="s">
        <v>65</v>
      </c>
      <c r="F285" t="s">
        <v>29</v>
      </c>
      <c r="G285" t="s">
        <v>30</v>
      </c>
      <c r="H285" s="1">
        <v>46199</v>
      </c>
      <c r="I285" s="1" t="str">
        <f>TEXT(Lead_Data[[#This Row],[Lead_Date]],"mmmm")</f>
        <v>June</v>
      </c>
      <c r="J285">
        <f ca="1">TODAY()-Lead_Data[[#This Row],[Lead_Date]]</f>
        <v>3</v>
      </c>
      <c r="K285" t="s">
        <v>35</v>
      </c>
      <c r="L285">
        <v>194493</v>
      </c>
      <c r="M285" t="str">
        <f>IF(Lead_Data[[#This Row],[Potential_Value]]&gt;100000,"High","Low")</f>
        <v>High</v>
      </c>
      <c r="N285" t="s">
        <v>55</v>
      </c>
    </row>
    <row r="286" spans="1:14" x14ac:dyDescent="0.3">
      <c r="A286" t="s">
        <v>796</v>
      </c>
      <c r="B286" t="s">
        <v>797</v>
      </c>
      <c r="C286">
        <v>9694399762</v>
      </c>
      <c r="D286" t="s">
        <v>798</v>
      </c>
      <c r="E286" t="s">
        <v>59</v>
      </c>
      <c r="F286" t="s">
        <v>15</v>
      </c>
      <c r="G286" t="s">
        <v>30</v>
      </c>
      <c r="H286" s="1">
        <v>46048</v>
      </c>
      <c r="I286" s="1" t="str">
        <f>TEXT(Lead_Data[[#This Row],[Lead_Date]],"mmmm")</f>
        <v>January</v>
      </c>
      <c r="J286">
        <f ca="1">TODAY()-Lead_Data[[#This Row],[Lead_Date]]</f>
        <v>154</v>
      </c>
      <c r="K286" t="s">
        <v>49</v>
      </c>
      <c r="L286">
        <v>249255</v>
      </c>
      <c r="M286" t="str">
        <f>IF(Lead_Data[[#This Row],[Potential_Value]]&gt;100000,"High","Low")</f>
        <v>High</v>
      </c>
      <c r="N286" t="s">
        <v>18</v>
      </c>
    </row>
    <row r="287" spans="1:14" x14ac:dyDescent="0.3">
      <c r="A287" t="s">
        <v>799</v>
      </c>
      <c r="B287" t="s">
        <v>412</v>
      </c>
      <c r="C287">
        <v>9864312868</v>
      </c>
      <c r="D287" t="s">
        <v>800</v>
      </c>
      <c r="E287" t="s">
        <v>28</v>
      </c>
      <c r="F287" t="s">
        <v>72</v>
      </c>
      <c r="G287" t="s">
        <v>48</v>
      </c>
      <c r="H287" s="1">
        <v>46033</v>
      </c>
      <c r="I287" s="1" t="str">
        <f>TEXT(Lead_Data[[#This Row],[Lead_Date]],"mmmm")</f>
        <v>January</v>
      </c>
      <c r="J287">
        <f ca="1">TODAY()-Lead_Data[[#This Row],[Lead_Date]]</f>
        <v>169</v>
      </c>
      <c r="K287" t="s">
        <v>31</v>
      </c>
      <c r="L287">
        <v>208432</v>
      </c>
      <c r="M287" t="str">
        <f>IF(Lead_Data[[#This Row],[Potential_Value]]&gt;100000,"High","Low")</f>
        <v>High</v>
      </c>
      <c r="N287" t="s">
        <v>83</v>
      </c>
    </row>
    <row r="288" spans="1:14" x14ac:dyDescent="0.3">
      <c r="A288" t="s">
        <v>801</v>
      </c>
      <c r="B288" t="s">
        <v>802</v>
      </c>
      <c r="C288">
        <v>9884134400</v>
      </c>
      <c r="D288" t="s">
        <v>803</v>
      </c>
      <c r="E288" t="s">
        <v>59</v>
      </c>
      <c r="F288" t="s">
        <v>47</v>
      </c>
      <c r="G288" t="s">
        <v>93</v>
      </c>
      <c r="H288" s="1">
        <v>46102</v>
      </c>
      <c r="I288" s="1" t="str">
        <f>TEXT(Lead_Data[[#This Row],[Lead_Date]],"mmmm")</f>
        <v>March</v>
      </c>
      <c r="J288">
        <f ca="1">TODAY()-Lead_Data[[#This Row],[Lead_Date]]</f>
        <v>100</v>
      </c>
      <c r="K288" t="s">
        <v>42</v>
      </c>
      <c r="L288">
        <v>140519</v>
      </c>
      <c r="M288" t="str">
        <f>IF(Lead_Data[[#This Row],[Potential_Value]]&gt;100000,"High","Low")</f>
        <v>High</v>
      </c>
      <c r="N288" t="s">
        <v>18</v>
      </c>
    </row>
    <row r="289" spans="1:14" x14ac:dyDescent="0.3">
      <c r="A289" t="s">
        <v>804</v>
      </c>
      <c r="B289" t="s">
        <v>149</v>
      </c>
      <c r="C289">
        <v>9356847237</v>
      </c>
      <c r="D289" t="s">
        <v>805</v>
      </c>
      <c r="E289" t="s">
        <v>14</v>
      </c>
      <c r="F289" t="s">
        <v>60</v>
      </c>
      <c r="G289" t="s">
        <v>61</v>
      </c>
      <c r="H289" s="1">
        <v>46023</v>
      </c>
      <c r="I289" s="1" t="str">
        <f>TEXT(Lead_Data[[#This Row],[Lead_Date]],"mmmm")</f>
        <v>January</v>
      </c>
      <c r="J289">
        <f ca="1">TODAY()-Lead_Data[[#This Row],[Lead_Date]]</f>
        <v>179</v>
      </c>
      <c r="K289" t="s">
        <v>17</v>
      </c>
      <c r="L289">
        <v>239405</v>
      </c>
      <c r="M289" t="str">
        <f>IF(Lead_Data[[#This Row],[Potential_Value]]&gt;100000,"High","Low")</f>
        <v>High</v>
      </c>
      <c r="N289" t="s">
        <v>18</v>
      </c>
    </row>
    <row r="290" spans="1:14" x14ac:dyDescent="0.3">
      <c r="A290" t="s">
        <v>806</v>
      </c>
      <c r="B290" t="s">
        <v>453</v>
      </c>
      <c r="C290">
        <v>9724923309</v>
      </c>
      <c r="D290" t="s">
        <v>807</v>
      </c>
      <c r="E290" t="s">
        <v>65</v>
      </c>
      <c r="F290" t="s">
        <v>72</v>
      </c>
      <c r="G290" t="s">
        <v>61</v>
      </c>
      <c r="H290" s="1">
        <v>46032</v>
      </c>
      <c r="I290" s="1" t="str">
        <f>TEXT(Lead_Data[[#This Row],[Lead_Date]],"mmmm")</f>
        <v>January</v>
      </c>
      <c r="J290">
        <f ca="1">TODAY()-Lead_Data[[#This Row],[Lead_Date]]</f>
        <v>170</v>
      </c>
      <c r="K290" t="s">
        <v>35</v>
      </c>
      <c r="L290">
        <v>249506</v>
      </c>
      <c r="M290" t="str">
        <f>IF(Lead_Data[[#This Row],[Potential_Value]]&gt;100000,"High","Low")</f>
        <v>High</v>
      </c>
      <c r="N290" t="s">
        <v>36</v>
      </c>
    </row>
    <row r="291" spans="1:14" x14ac:dyDescent="0.3">
      <c r="A291" t="s">
        <v>808</v>
      </c>
      <c r="B291" t="s">
        <v>809</v>
      </c>
      <c r="C291">
        <v>9592588496</v>
      </c>
      <c r="D291" t="s">
        <v>810</v>
      </c>
      <c r="E291" t="s">
        <v>54</v>
      </c>
      <c r="F291" t="s">
        <v>47</v>
      </c>
      <c r="G291" t="s">
        <v>30</v>
      </c>
      <c r="H291" s="1">
        <v>46079</v>
      </c>
      <c r="I291" s="1" t="str">
        <f>TEXT(Lead_Data[[#This Row],[Lead_Date]],"mmmm")</f>
        <v>February</v>
      </c>
      <c r="J291">
        <f ca="1">TODAY()-Lead_Data[[#This Row],[Lead_Date]]</f>
        <v>123</v>
      </c>
      <c r="K291" t="s">
        <v>49</v>
      </c>
      <c r="L291">
        <v>121142</v>
      </c>
      <c r="M291" t="str">
        <f>IF(Lead_Data[[#This Row],[Potential_Value]]&gt;100000,"High","Low")</f>
        <v>High</v>
      </c>
      <c r="N291" t="s">
        <v>55</v>
      </c>
    </row>
    <row r="292" spans="1:14" x14ac:dyDescent="0.3">
      <c r="A292" t="s">
        <v>811</v>
      </c>
      <c r="B292" t="s">
        <v>298</v>
      </c>
      <c r="C292">
        <v>9578270963</v>
      </c>
      <c r="D292" t="s">
        <v>812</v>
      </c>
      <c r="E292" t="s">
        <v>22</v>
      </c>
      <c r="F292" t="s">
        <v>29</v>
      </c>
      <c r="G292" t="s">
        <v>16</v>
      </c>
      <c r="H292" s="1">
        <v>46036</v>
      </c>
      <c r="I292" s="1" t="str">
        <f>TEXT(Lead_Data[[#This Row],[Lead_Date]],"mmmm")</f>
        <v>January</v>
      </c>
      <c r="J292">
        <f ca="1">TODAY()-Lead_Data[[#This Row],[Lead_Date]]</f>
        <v>166</v>
      </c>
      <c r="K292" t="s">
        <v>31</v>
      </c>
      <c r="L292">
        <v>138322</v>
      </c>
      <c r="M292" t="str">
        <f>IF(Lead_Data[[#This Row],[Potential_Value]]&gt;100000,"High","Low")</f>
        <v>High</v>
      </c>
      <c r="N292" t="s">
        <v>50</v>
      </c>
    </row>
    <row r="293" spans="1:14" x14ac:dyDescent="0.3">
      <c r="A293" t="s">
        <v>813</v>
      </c>
      <c r="B293" t="s">
        <v>578</v>
      </c>
      <c r="C293">
        <v>9345057340</v>
      </c>
      <c r="D293" t="s">
        <v>814</v>
      </c>
      <c r="E293" t="s">
        <v>40</v>
      </c>
      <c r="F293" t="s">
        <v>72</v>
      </c>
      <c r="G293" t="s">
        <v>93</v>
      </c>
      <c r="H293" s="1">
        <v>46067</v>
      </c>
      <c r="I293" s="1" t="str">
        <f>TEXT(Lead_Data[[#This Row],[Lead_Date]],"mmmm")</f>
        <v>February</v>
      </c>
      <c r="J293">
        <f ca="1">TODAY()-Lead_Data[[#This Row],[Lead_Date]]</f>
        <v>135</v>
      </c>
      <c r="K293" t="s">
        <v>42</v>
      </c>
      <c r="L293">
        <v>78230</v>
      </c>
      <c r="M293" t="str">
        <f>IF(Lead_Data[[#This Row],[Potential_Value]]&gt;100000,"High","Low")</f>
        <v>Low</v>
      </c>
      <c r="N293" t="s">
        <v>50</v>
      </c>
    </row>
    <row r="294" spans="1:14" x14ac:dyDescent="0.3">
      <c r="A294" t="s">
        <v>815</v>
      </c>
      <c r="B294" t="s">
        <v>666</v>
      </c>
      <c r="C294">
        <v>9665249116</v>
      </c>
      <c r="D294" t="s">
        <v>816</v>
      </c>
      <c r="E294" t="s">
        <v>22</v>
      </c>
      <c r="F294" t="s">
        <v>41</v>
      </c>
      <c r="G294" t="s">
        <v>61</v>
      </c>
      <c r="H294" s="1">
        <v>46046</v>
      </c>
      <c r="I294" s="1" t="str">
        <f>TEXT(Lead_Data[[#This Row],[Lead_Date]],"mmmm")</f>
        <v>January</v>
      </c>
      <c r="J294">
        <f ca="1">TODAY()-Lead_Data[[#This Row],[Lead_Date]]</f>
        <v>156</v>
      </c>
      <c r="K294" t="s">
        <v>31</v>
      </c>
      <c r="L294">
        <v>45796</v>
      </c>
      <c r="M294" t="str">
        <f>IF(Lead_Data[[#This Row],[Potential_Value]]&gt;100000,"High","Low")</f>
        <v>Low</v>
      </c>
      <c r="N294" t="s">
        <v>55</v>
      </c>
    </row>
    <row r="295" spans="1:14" x14ac:dyDescent="0.3">
      <c r="A295" t="s">
        <v>817</v>
      </c>
      <c r="B295" t="s">
        <v>306</v>
      </c>
      <c r="C295">
        <v>9710789177</v>
      </c>
      <c r="D295" t="s">
        <v>818</v>
      </c>
      <c r="E295" t="s">
        <v>46</v>
      </c>
      <c r="F295" t="s">
        <v>72</v>
      </c>
      <c r="G295" t="s">
        <v>61</v>
      </c>
      <c r="H295" s="1">
        <v>46154</v>
      </c>
      <c r="I295" s="1" t="str">
        <f>TEXT(Lead_Data[[#This Row],[Lead_Date]],"mmmm")</f>
        <v>May</v>
      </c>
      <c r="J295">
        <f ca="1">TODAY()-Lead_Data[[#This Row],[Lead_Date]]</f>
        <v>48</v>
      </c>
      <c r="K295" t="s">
        <v>35</v>
      </c>
      <c r="L295">
        <v>88478</v>
      </c>
      <c r="M295" t="str">
        <f>IF(Lead_Data[[#This Row],[Potential_Value]]&gt;100000,"High","Low")</f>
        <v>Low</v>
      </c>
      <c r="N295" t="s">
        <v>50</v>
      </c>
    </row>
    <row r="296" spans="1:14" x14ac:dyDescent="0.3">
      <c r="A296" t="s">
        <v>819</v>
      </c>
      <c r="B296" t="s">
        <v>820</v>
      </c>
      <c r="C296">
        <v>9754771234</v>
      </c>
      <c r="D296" t="s">
        <v>821</v>
      </c>
      <c r="E296" t="s">
        <v>14</v>
      </c>
      <c r="F296" t="s">
        <v>47</v>
      </c>
      <c r="G296" t="s">
        <v>48</v>
      </c>
      <c r="H296" s="1">
        <v>46184</v>
      </c>
      <c r="I296" s="1" t="str">
        <f>TEXT(Lead_Data[[#This Row],[Lead_Date]],"mmmm")</f>
        <v>June</v>
      </c>
      <c r="J296">
        <f ca="1">TODAY()-Lead_Data[[#This Row],[Lead_Date]]</f>
        <v>18</v>
      </c>
      <c r="K296" t="s">
        <v>31</v>
      </c>
      <c r="L296">
        <v>187478</v>
      </c>
      <c r="M296" t="str">
        <f>IF(Lead_Data[[#This Row],[Potential_Value]]&gt;100000,"High","Low")</f>
        <v>High</v>
      </c>
      <c r="N296" t="s">
        <v>50</v>
      </c>
    </row>
    <row r="297" spans="1:14" x14ac:dyDescent="0.3">
      <c r="A297" t="s">
        <v>822</v>
      </c>
      <c r="B297" t="s">
        <v>823</v>
      </c>
      <c r="C297">
        <v>9537692524</v>
      </c>
      <c r="D297" t="s">
        <v>824</v>
      </c>
      <c r="E297" t="s">
        <v>54</v>
      </c>
      <c r="F297" t="s">
        <v>23</v>
      </c>
      <c r="G297" t="s">
        <v>61</v>
      </c>
      <c r="H297" s="1">
        <v>46052</v>
      </c>
      <c r="I297" s="1" t="str">
        <f>TEXT(Lead_Data[[#This Row],[Lead_Date]],"mmmm")</f>
        <v>January</v>
      </c>
      <c r="J297">
        <f ca="1">TODAY()-Lead_Data[[#This Row],[Lead_Date]]</f>
        <v>150</v>
      </c>
      <c r="K297" t="s">
        <v>24</v>
      </c>
      <c r="L297">
        <v>64115</v>
      </c>
      <c r="M297" t="str">
        <f>IF(Lead_Data[[#This Row],[Potential_Value]]&gt;100000,"High","Low")</f>
        <v>Low</v>
      </c>
      <c r="N297" t="s">
        <v>36</v>
      </c>
    </row>
    <row r="298" spans="1:14" x14ac:dyDescent="0.3">
      <c r="A298" t="s">
        <v>825</v>
      </c>
      <c r="B298" t="s">
        <v>246</v>
      </c>
      <c r="C298">
        <v>9636456072</v>
      </c>
      <c r="D298" t="s">
        <v>826</v>
      </c>
      <c r="E298" t="s">
        <v>54</v>
      </c>
      <c r="F298" t="s">
        <v>29</v>
      </c>
      <c r="G298" t="s">
        <v>30</v>
      </c>
      <c r="H298" s="1">
        <v>46051</v>
      </c>
      <c r="I298" s="1" t="str">
        <f>TEXT(Lead_Data[[#This Row],[Lead_Date]],"mmmm")</f>
        <v>January</v>
      </c>
      <c r="J298">
        <f ca="1">TODAY()-Lead_Data[[#This Row],[Lead_Date]]</f>
        <v>151</v>
      </c>
      <c r="K298" t="s">
        <v>31</v>
      </c>
      <c r="L298">
        <v>95058</v>
      </c>
      <c r="M298" t="str">
        <f>IF(Lead_Data[[#This Row],[Potential_Value]]&gt;100000,"High","Low")</f>
        <v>Low</v>
      </c>
      <c r="N298" t="s">
        <v>55</v>
      </c>
    </row>
    <row r="299" spans="1:14" x14ac:dyDescent="0.3">
      <c r="A299" t="s">
        <v>827</v>
      </c>
      <c r="B299" t="s">
        <v>828</v>
      </c>
      <c r="C299">
        <v>9632561374</v>
      </c>
      <c r="D299" t="s">
        <v>829</v>
      </c>
      <c r="E299" t="s">
        <v>14</v>
      </c>
      <c r="F299" t="s">
        <v>23</v>
      </c>
      <c r="G299" t="s">
        <v>30</v>
      </c>
      <c r="H299" s="1">
        <v>46165</v>
      </c>
      <c r="I299" s="1" t="str">
        <f>TEXT(Lead_Data[[#This Row],[Lead_Date]],"mmmm")</f>
        <v>May</v>
      </c>
      <c r="J299">
        <f ca="1">TODAY()-Lead_Data[[#This Row],[Lead_Date]]</f>
        <v>37</v>
      </c>
      <c r="K299" t="s">
        <v>24</v>
      </c>
      <c r="L299">
        <v>206724</v>
      </c>
      <c r="M299" t="str">
        <f>IF(Lead_Data[[#This Row],[Potential_Value]]&gt;100000,"High","Low")</f>
        <v>High</v>
      </c>
      <c r="N299" t="s">
        <v>55</v>
      </c>
    </row>
    <row r="300" spans="1:14" x14ac:dyDescent="0.3">
      <c r="A300" t="s">
        <v>830</v>
      </c>
      <c r="B300" t="s">
        <v>425</v>
      </c>
      <c r="C300">
        <v>9685652278</v>
      </c>
      <c r="D300" t="s">
        <v>831</v>
      </c>
      <c r="E300" t="s">
        <v>14</v>
      </c>
      <c r="F300" t="s">
        <v>41</v>
      </c>
      <c r="G300" t="s">
        <v>48</v>
      </c>
      <c r="H300" s="1">
        <v>46090</v>
      </c>
      <c r="I300" s="1" t="str">
        <f>TEXT(Lead_Data[[#This Row],[Lead_Date]],"mmmm")</f>
        <v>March</v>
      </c>
      <c r="J300">
        <f ca="1">TODAY()-Lead_Data[[#This Row],[Lead_Date]]</f>
        <v>112</v>
      </c>
      <c r="K300" t="s">
        <v>24</v>
      </c>
      <c r="L300">
        <v>138016</v>
      </c>
      <c r="M300" t="str">
        <f>IF(Lead_Data[[#This Row],[Potential_Value]]&gt;100000,"High","Low")</f>
        <v>High</v>
      </c>
      <c r="N300" t="s">
        <v>50</v>
      </c>
    </row>
    <row r="301" spans="1:14" x14ac:dyDescent="0.3">
      <c r="A301" t="s">
        <v>832</v>
      </c>
      <c r="B301" t="s">
        <v>833</v>
      </c>
      <c r="C301">
        <v>9622209476</v>
      </c>
      <c r="D301" t="s">
        <v>834</v>
      </c>
      <c r="E301" t="s">
        <v>54</v>
      </c>
      <c r="F301" t="s">
        <v>41</v>
      </c>
      <c r="G301" t="s">
        <v>16</v>
      </c>
      <c r="H301" s="1">
        <v>46187</v>
      </c>
      <c r="I301" s="1" t="str">
        <f>TEXT(Lead_Data[[#This Row],[Lead_Date]],"mmmm")</f>
        <v>June</v>
      </c>
      <c r="J301">
        <f ca="1">TODAY()-Lead_Data[[#This Row],[Lead_Date]]</f>
        <v>15</v>
      </c>
      <c r="K301" t="s">
        <v>35</v>
      </c>
      <c r="L301">
        <v>181076</v>
      </c>
      <c r="M301" t="str">
        <f>IF(Lead_Data[[#This Row],[Potential_Value]]&gt;100000,"High","Low")</f>
        <v>High</v>
      </c>
      <c r="N301" t="s">
        <v>83</v>
      </c>
    </row>
    <row r="302" spans="1:14" x14ac:dyDescent="0.3">
      <c r="A302" t="s">
        <v>835</v>
      </c>
      <c r="B302" t="s">
        <v>171</v>
      </c>
      <c r="C302">
        <v>9813394774</v>
      </c>
      <c r="D302" t="s">
        <v>836</v>
      </c>
      <c r="E302" t="s">
        <v>59</v>
      </c>
      <c r="F302" t="s">
        <v>15</v>
      </c>
      <c r="G302" t="s">
        <v>61</v>
      </c>
      <c r="H302" s="1">
        <v>46124</v>
      </c>
      <c r="I302" s="1" t="str">
        <f>TEXT(Lead_Data[[#This Row],[Lead_Date]],"mmmm")</f>
        <v>April</v>
      </c>
      <c r="J302">
        <f ca="1">TODAY()-Lead_Data[[#This Row],[Lead_Date]]</f>
        <v>78</v>
      </c>
      <c r="K302" t="s">
        <v>31</v>
      </c>
      <c r="L302">
        <v>177274</v>
      </c>
      <c r="M302" t="str">
        <f>IF(Lead_Data[[#This Row],[Potential_Value]]&gt;100000,"High","Low")</f>
        <v>High</v>
      </c>
      <c r="N302" t="s">
        <v>18</v>
      </c>
    </row>
    <row r="303" spans="1:14" x14ac:dyDescent="0.3">
      <c r="A303" t="s">
        <v>837</v>
      </c>
      <c r="B303" t="s">
        <v>560</v>
      </c>
      <c r="C303">
        <v>9692784835</v>
      </c>
      <c r="D303" t="s">
        <v>838</v>
      </c>
      <c r="E303" t="s">
        <v>76</v>
      </c>
      <c r="F303" t="s">
        <v>72</v>
      </c>
      <c r="G303" t="s">
        <v>61</v>
      </c>
      <c r="H303" s="1">
        <v>46106</v>
      </c>
      <c r="I303" s="1" t="str">
        <f>TEXT(Lead_Data[[#This Row],[Lead_Date]],"mmmm")</f>
        <v>March</v>
      </c>
      <c r="J303">
        <f ca="1">TODAY()-Lead_Data[[#This Row],[Lead_Date]]</f>
        <v>96</v>
      </c>
      <c r="K303" t="s">
        <v>49</v>
      </c>
      <c r="L303">
        <v>70352</v>
      </c>
      <c r="M303" t="str">
        <f>IF(Lead_Data[[#This Row],[Potential_Value]]&gt;100000,"High","Low")</f>
        <v>Low</v>
      </c>
      <c r="N303" t="s">
        <v>83</v>
      </c>
    </row>
    <row r="304" spans="1:14" x14ac:dyDescent="0.3">
      <c r="A304" t="s">
        <v>839</v>
      </c>
      <c r="B304" t="s">
        <v>840</v>
      </c>
      <c r="C304">
        <v>9644030897</v>
      </c>
      <c r="D304" t="s">
        <v>841</v>
      </c>
      <c r="E304" t="s">
        <v>208</v>
      </c>
      <c r="F304" t="s">
        <v>23</v>
      </c>
      <c r="G304" t="s">
        <v>30</v>
      </c>
      <c r="H304" s="1">
        <v>46084</v>
      </c>
      <c r="I304" s="1" t="str">
        <f>TEXT(Lead_Data[[#This Row],[Lead_Date]],"mmmm")</f>
        <v>March</v>
      </c>
      <c r="J304">
        <f ca="1">TODAY()-Lead_Data[[#This Row],[Lead_Date]]</f>
        <v>118</v>
      </c>
      <c r="K304" t="s">
        <v>42</v>
      </c>
      <c r="L304">
        <v>220445</v>
      </c>
      <c r="M304" t="str">
        <f>IF(Lead_Data[[#This Row],[Potential_Value]]&gt;100000,"High","Low")</f>
        <v>High</v>
      </c>
      <c r="N304" t="s">
        <v>55</v>
      </c>
    </row>
    <row r="305" spans="1:14" x14ac:dyDescent="0.3">
      <c r="A305" t="s">
        <v>842</v>
      </c>
      <c r="B305" t="s">
        <v>295</v>
      </c>
      <c r="C305">
        <v>9577045795</v>
      </c>
      <c r="D305" t="s">
        <v>843</v>
      </c>
      <c r="E305" t="s">
        <v>54</v>
      </c>
      <c r="F305" t="s">
        <v>47</v>
      </c>
      <c r="G305" t="s">
        <v>16</v>
      </c>
      <c r="H305" s="1">
        <v>46063</v>
      </c>
      <c r="I305" s="1" t="str">
        <f>TEXT(Lead_Data[[#This Row],[Lead_Date]],"mmmm")</f>
        <v>February</v>
      </c>
      <c r="J305">
        <f ca="1">TODAY()-Lead_Data[[#This Row],[Lead_Date]]</f>
        <v>139</v>
      </c>
      <c r="K305" t="s">
        <v>35</v>
      </c>
      <c r="L305">
        <v>31032</v>
      </c>
      <c r="M305" t="str">
        <f>IF(Lead_Data[[#This Row],[Potential_Value]]&gt;100000,"High","Low")</f>
        <v>Low</v>
      </c>
      <c r="N305" t="s">
        <v>50</v>
      </c>
    </row>
    <row r="306" spans="1:14" x14ac:dyDescent="0.3">
      <c r="A306" t="s">
        <v>844</v>
      </c>
      <c r="B306" t="s">
        <v>81</v>
      </c>
      <c r="C306">
        <v>9595463922</v>
      </c>
      <c r="D306" t="s">
        <v>845</v>
      </c>
      <c r="E306" t="s">
        <v>14</v>
      </c>
      <c r="F306" t="s">
        <v>23</v>
      </c>
      <c r="G306" t="s">
        <v>48</v>
      </c>
      <c r="H306" s="1">
        <v>46125</v>
      </c>
      <c r="I306" s="1" t="str">
        <f>TEXT(Lead_Data[[#This Row],[Lead_Date]],"mmmm")</f>
        <v>April</v>
      </c>
      <c r="J306">
        <f ca="1">TODAY()-Lead_Data[[#This Row],[Lead_Date]]</f>
        <v>77</v>
      </c>
      <c r="K306" t="s">
        <v>24</v>
      </c>
      <c r="L306">
        <v>60020</v>
      </c>
      <c r="M306" t="str">
        <f>IF(Lead_Data[[#This Row],[Potential_Value]]&gt;100000,"High","Low")</f>
        <v>Low</v>
      </c>
      <c r="N306" t="s">
        <v>50</v>
      </c>
    </row>
    <row r="307" spans="1:14" x14ac:dyDescent="0.3">
      <c r="A307" t="s">
        <v>846</v>
      </c>
      <c r="B307" t="s">
        <v>847</v>
      </c>
      <c r="C307">
        <v>9378624205</v>
      </c>
      <c r="D307" t="s">
        <v>848</v>
      </c>
      <c r="E307" t="s">
        <v>59</v>
      </c>
      <c r="F307" t="s">
        <v>15</v>
      </c>
      <c r="G307" t="s">
        <v>30</v>
      </c>
      <c r="H307" s="1">
        <v>46131</v>
      </c>
      <c r="I307" s="1" t="str">
        <f>TEXT(Lead_Data[[#This Row],[Lead_Date]],"mmmm")</f>
        <v>April</v>
      </c>
      <c r="J307">
        <f ca="1">TODAY()-Lead_Data[[#This Row],[Lead_Date]]</f>
        <v>71</v>
      </c>
      <c r="K307" t="s">
        <v>35</v>
      </c>
      <c r="L307">
        <v>24496</v>
      </c>
      <c r="M307" t="str">
        <f>IF(Lead_Data[[#This Row],[Potential_Value]]&gt;100000,"High","Low")</f>
        <v>Low</v>
      </c>
      <c r="N307" t="s">
        <v>18</v>
      </c>
    </row>
    <row r="308" spans="1:14" x14ac:dyDescent="0.3">
      <c r="A308" t="s">
        <v>849</v>
      </c>
      <c r="B308" t="s">
        <v>466</v>
      </c>
      <c r="C308">
        <v>9868880433</v>
      </c>
      <c r="D308" t="s">
        <v>850</v>
      </c>
      <c r="E308" t="s">
        <v>59</v>
      </c>
      <c r="F308" t="s">
        <v>41</v>
      </c>
      <c r="G308" t="s">
        <v>93</v>
      </c>
      <c r="H308" s="1">
        <v>46025</v>
      </c>
      <c r="I308" s="1" t="str">
        <f>TEXT(Lead_Data[[#This Row],[Lead_Date]],"mmmm")</f>
        <v>January</v>
      </c>
      <c r="J308">
        <f ca="1">TODAY()-Lead_Data[[#This Row],[Lead_Date]]</f>
        <v>177</v>
      </c>
      <c r="K308" t="s">
        <v>24</v>
      </c>
      <c r="L308">
        <v>87526</v>
      </c>
      <c r="M308" t="str">
        <f>IF(Lead_Data[[#This Row],[Potential_Value]]&gt;100000,"High","Low")</f>
        <v>Low</v>
      </c>
      <c r="N308" t="s">
        <v>36</v>
      </c>
    </row>
    <row r="309" spans="1:14" x14ac:dyDescent="0.3">
      <c r="A309" t="s">
        <v>851</v>
      </c>
      <c r="B309" t="s">
        <v>137</v>
      </c>
      <c r="C309">
        <v>9686170595</v>
      </c>
      <c r="D309" t="s">
        <v>852</v>
      </c>
      <c r="E309" t="s">
        <v>46</v>
      </c>
      <c r="F309" t="s">
        <v>23</v>
      </c>
      <c r="G309" t="s">
        <v>16</v>
      </c>
      <c r="H309" s="1">
        <v>46073</v>
      </c>
      <c r="I309" s="1" t="str">
        <f>TEXT(Lead_Data[[#This Row],[Lead_Date]],"mmmm")</f>
        <v>February</v>
      </c>
      <c r="J309">
        <f ca="1">TODAY()-Lead_Data[[#This Row],[Lead_Date]]</f>
        <v>129</v>
      </c>
      <c r="K309" t="s">
        <v>49</v>
      </c>
      <c r="L309">
        <v>145470</v>
      </c>
      <c r="M309" t="str">
        <f>IF(Lead_Data[[#This Row],[Potential_Value]]&gt;100000,"High","Low")</f>
        <v>High</v>
      </c>
      <c r="N309" t="s">
        <v>55</v>
      </c>
    </row>
    <row r="310" spans="1:14" x14ac:dyDescent="0.3">
      <c r="A310" t="s">
        <v>853</v>
      </c>
      <c r="B310" t="s">
        <v>854</v>
      </c>
      <c r="C310">
        <v>9763870564</v>
      </c>
      <c r="D310" t="s">
        <v>855</v>
      </c>
      <c r="E310" t="s">
        <v>28</v>
      </c>
      <c r="F310" t="s">
        <v>23</v>
      </c>
      <c r="G310" t="s">
        <v>30</v>
      </c>
      <c r="H310" s="1">
        <v>46178</v>
      </c>
      <c r="I310" s="1" t="str">
        <f>TEXT(Lead_Data[[#This Row],[Lead_Date]],"mmmm")</f>
        <v>June</v>
      </c>
      <c r="J310">
        <f ca="1">TODAY()-Lead_Data[[#This Row],[Lead_Date]]</f>
        <v>24</v>
      </c>
      <c r="K310" t="s">
        <v>35</v>
      </c>
      <c r="L310">
        <v>187326</v>
      </c>
      <c r="M310" t="str">
        <f>IF(Lead_Data[[#This Row],[Potential_Value]]&gt;100000,"High","Low")</f>
        <v>High</v>
      </c>
      <c r="N310" t="s">
        <v>83</v>
      </c>
    </row>
    <row r="311" spans="1:14" x14ac:dyDescent="0.3">
      <c r="A311" t="s">
        <v>856</v>
      </c>
      <c r="B311" t="s">
        <v>88</v>
      </c>
      <c r="C311">
        <v>9386655155</v>
      </c>
      <c r="D311" t="s">
        <v>857</v>
      </c>
      <c r="E311" t="s">
        <v>65</v>
      </c>
      <c r="F311" t="s">
        <v>29</v>
      </c>
      <c r="G311" t="s">
        <v>93</v>
      </c>
      <c r="H311" s="1">
        <v>46130</v>
      </c>
      <c r="I311" s="1" t="str">
        <f>TEXT(Lead_Data[[#This Row],[Lead_Date]],"mmmm")</f>
        <v>April</v>
      </c>
      <c r="J311">
        <f ca="1">TODAY()-Lead_Data[[#This Row],[Lead_Date]]</f>
        <v>72</v>
      </c>
      <c r="K311" t="s">
        <v>49</v>
      </c>
      <c r="L311">
        <v>236823</v>
      </c>
      <c r="M311" t="str">
        <f>IF(Lead_Data[[#This Row],[Potential_Value]]&gt;100000,"High","Low")</f>
        <v>High</v>
      </c>
      <c r="N311" t="s">
        <v>83</v>
      </c>
    </row>
    <row r="312" spans="1:14" x14ac:dyDescent="0.3">
      <c r="A312" t="s">
        <v>858</v>
      </c>
      <c r="B312" t="s">
        <v>859</v>
      </c>
      <c r="C312">
        <v>9835346293</v>
      </c>
      <c r="D312" t="s">
        <v>860</v>
      </c>
      <c r="E312" t="s">
        <v>46</v>
      </c>
      <c r="F312" t="s">
        <v>41</v>
      </c>
      <c r="G312" t="s">
        <v>30</v>
      </c>
      <c r="H312" s="1">
        <v>46079</v>
      </c>
      <c r="I312" s="1" t="str">
        <f>TEXT(Lead_Data[[#This Row],[Lead_Date]],"mmmm")</f>
        <v>February</v>
      </c>
      <c r="J312">
        <f ca="1">TODAY()-Lead_Data[[#This Row],[Lead_Date]]</f>
        <v>123</v>
      </c>
      <c r="K312" t="s">
        <v>31</v>
      </c>
      <c r="L312">
        <v>183141</v>
      </c>
      <c r="M312" t="str">
        <f>IF(Lead_Data[[#This Row],[Potential_Value]]&gt;100000,"High","Low")</f>
        <v>High</v>
      </c>
      <c r="N312" t="s">
        <v>18</v>
      </c>
    </row>
    <row r="313" spans="1:14" x14ac:dyDescent="0.3">
      <c r="A313" t="s">
        <v>861</v>
      </c>
      <c r="B313" t="s">
        <v>596</v>
      </c>
      <c r="C313">
        <v>9558318545</v>
      </c>
      <c r="D313" t="s">
        <v>862</v>
      </c>
      <c r="E313" t="s">
        <v>22</v>
      </c>
      <c r="F313" t="s">
        <v>47</v>
      </c>
      <c r="G313" t="s">
        <v>48</v>
      </c>
      <c r="H313" s="1">
        <v>46158</v>
      </c>
      <c r="I313" s="1" t="str">
        <f>TEXT(Lead_Data[[#This Row],[Lead_Date]],"mmmm")</f>
        <v>May</v>
      </c>
      <c r="J313">
        <f ca="1">TODAY()-Lead_Data[[#This Row],[Lead_Date]]</f>
        <v>44</v>
      </c>
      <c r="K313" t="s">
        <v>24</v>
      </c>
      <c r="L313">
        <v>78440</v>
      </c>
      <c r="M313" t="str">
        <f>IF(Lead_Data[[#This Row],[Potential_Value]]&gt;100000,"High","Low")</f>
        <v>Low</v>
      </c>
      <c r="N313" t="s">
        <v>36</v>
      </c>
    </row>
    <row r="314" spans="1:14" x14ac:dyDescent="0.3">
      <c r="A314" t="s">
        <v>863</v>
      </c>
      <c r="B314" t="s">
        <v>81</v>
      </c>
      <c r="C314">
        <v>9783566596</v>
      </c>
      <c r="D314" t="s">
        <v>864</v>
      </c>
      <c r="E314" t="s">
        <v>22</v>
      </c>
      <c r="F314" t="s">
        <v>60</v>
      </c>
      <c r="G314" t="s">
        <v>61</v>
      </c>
      <c r="H314" s="1">
        <v>46051</v>
      </c>
      <c r="I314" s="1" t="str">
        <f>TEXT(Lead_Data[[#This Row],[Lead_Date]],"mmmm")</f>
        <v>January</v>
      </c>
      <c r="J314">
        <f ca="1">TODAY()-Lead_Data[[#This Row],[Lead_Date]]</f>
        <v>151</v>
      </c>
      <c r="K314" t="s">
        <v>35</v>
      </c>
      <c r="L314">
        <v>34894</v>
      </c>
      <c r="M314" t="str">
        <f>IF(Lead_Data[[#This Row],[Potential_Value]]&gt;100000,"High","Low")</f>
        <v>Low</v>
      </c>
      <c r="N314" t="s">
        <v>50</v>
      </c>
    </row>
    <row r="315" spans="1:14" x14ac:dyDescent="0.3">
      <c r="A315" t="s">
        <v>865</v>
      </c>
      <c r="B315" t="s">
        <v>189</v>
      </c>
      <c r="C315">
        <v>9540466110</v>
      </c>
      <c r="D315" t="s">
        <v>866</v>
      </c>
      <c r="E315" t="s">
        <v>46</v>
      </c>
      <c r="F315" t="s">
        <v>72</v>
      </c>
      <c r="G315" t="s">
        <v>16</v>
      </c>
      <c r="H315" s="1">
        <v>46164</v>
      </c>
      <c r="I315" s="1" t="str">
        <f>TEXT(Lead_Data[[#This Row],[Lead_Date]],"mmmm")</f>
        <v>May</v>
      </c>
      <c r="J315">
        <f ca="1">TODAY()-Lead_Data[[#This Row],[Lead_Date]]</f>
        <v>38</v>
      </c>
      <c r="K315" t="s">
        <v>42</v>
      </c>
      <c r="L315">
        <v>192641</v>
      </c>
      <c r="M315" t="str">
        <f>IF(Lead_Data[[#This Row],[Potential_Value]]&gt;100000,"High","Low")</f>
        <v>High</v>
      </c>
      <c r="N315" t="s">
        <v>36</v>
      </c>
    </row>
    <row r="316" spans="1:14" x14ac:dyDescent="0.3">
      <c r="A316" t="s">
        <v>867</v>
      </c>
      <c r="B316" t="s">
        <v>859</v>
      </c>
      <c r="C316">
        <v>9320768103</v>
      </c>
      <c r="D316" t="s">
        <v>868</v>
      </c>
      <c r="E316" t="s">
        <v>14</v>
      </c>
      <c r="F316" t="s">
        <v>60</v>
      </c>
      <c r="G316" t="s">
        <v>48</v>
      </c>
      <c r="H316" s="1">
        <v>46127</v>
      </c>
      <c r="I316" s="1" t="str">
        <f>TEXT(Lead_Data[[#This Row],[Lead_Date]],"mmmm")</f>
        <v>April</v>
      </c>
      <c r="J316">
        <f ca="1">TODAY()-Lead_Data[[#This Row],[Lead_Date]]</f>
        <v>75</v>
      </c>
      <c r="K316" t="s">
        <v>31</v>
      </c>
      <c r="L316">
        <v>236355</v>
      </c>
      <c r="M316" t="str">
        <f>IF(Lead_Data[[#This Row],[Potential_Value]]&gt;100000,"High","Low")</f>
        <v>High</v>
      </c>
      <c r="N316" t="s">
        <v>18</v>
      </c>
    </row>
    <row r="317" spans="1:14" x14ac:dyDescent="0.3">
      <c r="A317" t="s">
        <v>869</v>
      </c>
      <c r="B317" t="s">
        <v>870</v>
      </c>
      <c r="C317">
        <v>9894100117</v>
      </c>
      <c r="D317" t="s">
        <v>871</v>
      </c>
      <c r="E317" t="s">
        <v>14</v>
      </c>
      <c r="F317" t="s">
        <v>29</v>
      </c>
      <c r="G317" t="s">
        <v>48</v>
      </c>
      <c r="H317" s="1">
        <v>46154</v>
      </c>
      <c r="I317" s="1" t="str">
        <f>TEXT(Lead_Data[[#This Row],[Lead_Date]],"mmmm")</f>
        <v>May</v>
      </c>
      <c r="J317">
        <f ca="1">TODAY()-Lead_Data[[#This Row],[Lead_Date]]</f>
        <v>48</v>
      </c>
      <c r="K317" t="s">
        <v>42</v>
      </c>
      <c r="L317">
        <v>54893</v>
      </c>
      <c r="M317" t="str">
        <f>IF(Lead_Data[[#This Row],[Potential_Value]]&gt;100000,"High","Low")</f>
        <v>Low</v>
      </c>
      <c r="N317" t="s">
        <v>50</v>
      </c>
    </row>
    <row r="318" spans="1:14" x14ac:dyDescent="0.3">
      <c r="A318" t="s">
        <v>872</v>
      </c>
      <c r="B318" t="s">
        <v>873</v>
      </c>
      <c r="C318">
        <v>9828361302</v>
      </c>
      <c r="D318" t="s">
        <v>874</v>
      </c>
      <c r="E318" t="s">
        <v>28</v>
      </c>
      <c r="F318" t="s">
        <v>23</v>
      </c>
      <c r="G318" t="s">
        <v>48</v>
      </c>
      <c r="H318" s="1">
        <v>46118</v>
      </c>
      <c r="I318" s="1" t="str">
        <f>TEXT(Lead_Data[[#This Row],[Lead_Date]],"mmmm")</f>
        <v>April</v>
      </c>
      <c r="J318">
        <f ca="1">TODAY()-Lead_Data[[#This Row],[Lead_Date]]</f>
        <v>84</v>
      </c>
      <c r="K318" t="s">
        <v>31</v>
      </c>
      <c r="L318">
        <v>22378</v>
      </c>
      <c r="M318" t="str">
        <f>IF(Lead_Data[[#This Row],[Potential_Value]]&gt;100000,"High","Low")</f>
        <v>Low</v>
      </c>
      <c r="N318" t="s">
        <v>83</v>
      </c>
    </row>
    <row r="319" spans="1:14" x14ac:dyDescent="0.3">
      <c r="A319" t="s">
        <v>875</v>
      </c>
      <c r="B319" t="s">
        <v>283</v>
      </c>
      <c r="C319">
        <v>9338606321</v>
      </c>
      <c r="D319" t="s">
        <v>876</v>
      </c>
      <c r="E319" t="s">
        <v>54</v>
      </c>
      <c r="F319" t="s">
        <v>23</v>
      </c>
      <c r="G319" t="s">
        <v>93</v>
      </c>
      <c r="H319" s="1">
        <v>46140</v>
      </c>
      <c r="I319" s="1" t="str">
        <f>TEXT(Lead_Data[[#This Row],[Lead_Date]],"mmmm")</f>
        <v>April</v>
      </c>
      <c r="J319">
        <f ca="1">TODAY()-Lead_Data[[#This Row],[Lead_Date]]</f>
        <v>62</v>
      </c>
      <c r="K319" t="s">
        <v>24</v>
      </c>
      <c r="L319">
        <v>248167</v>
      </c>
      <c r="M319" t="str">
        <f>IF(Lead_Data[[#This Row],[Potential_Value]]&gt;100000,"High","Low")</f>
        <v>High</v>
      </c>
      <c r="N319" t="s">
        <v>36</v>
      </c>
    </row>
    <row r="320" spans="1:14" x14ac:dyDescent="0.3">
      <c r="A320" t="s">
        <v>877</v>
      </c>
      <c r="B320" t="s">
        <v>230</v>
      </c>
      <c r="C320">
        <v>9325396245</v>
      </c>
      <c r="D320" t="s">
        <v>878</v>
      </c>
      <c r="E320" t="s">
        <v>59</v>
      </c>
      <c r="F320" t="s">
        <v>15</v>
      </c>
      <c r="G320" t="s">
        <v>61</v>
      </c>
      <c r="H320" s="1">
        <v>46113</v>
      </c>
      <c r="I320" s="1" t="str">
        <f>TEXT(Lead_Data[[#This Row],[Lead_Date]],"mmmm")</f>
        <v>April</v>
      </c>
      <c r="J320">
        <f ca="1">TODAY()-Lead_Data[[#This Row],[Lead_Date]]</f>
        <v>89</v>
      </c>
      <c r="K320" t="s">
        <v>35</v>
      </c>
      <c r="L320">
        <v>188394</v>
      </c>
      <c r="M320" t="str">
        <f>IF(Lead_Data[[#This Row],[Potential_Value]]&gt;100000,"High","Low")</f>
        <v>High</v>
      </c>
      <c r="N320" t="s">
        <v>36</v>
      </c>
    </row>
    <row r="321" spans="1:14" x14ac:dyDescent="0.3">
      <c r="A321" t="s">
        <v>879</v>
      </c>
      <c r="B321" t="s">
        <v>880</v>
      </c>
      <c r="C321">
        <v>9678877976</v>
      </c>
      <c r="D321" t="s">
        <v>881</v>
      </c>
      <c r="E321" t="s">
        <v>65</v>
      </c>
      <c r="F321" t="s">
        <v>41</v>
      </c>
      <c r="G321" t="s">
        <v>48</v>
      </c>
      <c r="H321" s="1">
        <v>46157</v>
      </c>
      <c r="I321" s="1" t="str">
        <f>TEXT(Lead_Data[[#This Row],[Lead_Date]],"mmmm")</f>
        <v>May</v>
      </c>
      <c r="J321">
        <f ca="1">TODAY()-Lead_Data[[#This Row],[Lead_Date]]</f>
        <v>45</v>
      </c>
      <c r="K321" t="s">
        <v>17</v>
      </c>
      <c r="L321">
        <v>224052</v>
      </c>
      <c r="M321" t="str">
        <f>IF(Lead_Data[[#This Row],[Potential_Value]]&gt;100000,"High","Low")</f>
        <v>High</v>
      </c>
      <c r="N321" t="s">
        <v>18</v>
      </c>
    </row>
    <row r="322" spans="1:14" x14ac:dyDescent="0.3">
      <c r="A322" t="s">
        <v>882</v>
      </c>
      <c r="B322" t="s">
        <v>883</v>
      </c>
      <c r="C322">
        <v>9353937796</v>
      </c>
      <c r="D322" t="s">
        <v>884</v>
      </c>
      <c r="E322" t="s">
        <v>14</v>
      </c>
      <c r="F322" t="s">
        <v>23</v>
      </c>
      <c r="G322" t="s">
        <v>93</v>
      </c>
      <c r="H322" s="1">
        <v>46177</v>
      </c>
      <c r="I322" s="1" t="str">
        <f>TEXT(Lead_Data[[#This Row],[Lead_Date]],"mmmm")</f>
        <v>June</v>
      </c>
      <c r="J322">
        <f ca="1">TODAY()-Lead_Data[[#This Row],[Lead_Date]]</f>
        <v>25</v>
      </c>
      <c r="K322" t="s">
        <v>49</v>
      </c>
      <c r="L322">
        <v>102891</v>
      </c>
      <c r="M322" t="str">
        <f>IF(Lead_Data[[#This Row],[Potential_Value]]&gt;100000,"High","Low")</f>
        <v>High</v>
      </c>
      <c r="N322" t="s">
        <v>50</v>
      </c>
    </row>
    <row r="323" spans="1:14" x14ac:dyDescent="0.3">
      <c r="A323" t="s">
        <v>885</v>
      </c>
      <c r="B323" t="s">
        <v>192</v>
      </c>
      <c r="C323">
        <v>9369039469</v>
      </c>
      <c r="D323" t="s">
        <v>886</v>
      </c>
      <c r="E323" t="s">
        <v>208</v>
      </c>
      <c r="F323" t="s">
        <v>29</v>
      </c>
      <c r="G323" t="s">
        <v>30</v>
      </c>
      <c r="H323" s="1">
        <v>46052</v>
      </c>
      <c r="I323" s="1" t="str">
        <f>TEXT(Lead_Data[[#This Row],[Lead_Date]],"mmmm")</f>
        <v>January</v>
      </c>
      <c r="J323">
        <f ca="1">TODAY()-Lead_Data[[#This Row],[Lead_Date]]</f>
        <v>150</v>
      </c>
      <c r="K323" t="s">
        <v>17</v>
      </c>
      <c r="L323">
        <v>219896</v>
      </c>
      <c r="M323" t="str">
        <f>IF(Lead_Data[[#This Row],[Potential_Value]]&gt;100000,"High","Low")</f>
        <v>High</v>
      </c>
      <c r="N323" t="s">
        <v>83</v>
      </c>
    </row>
    <row r="324" spans="1:14" x14ac:dyDescent="0.3">
      <c r="A324" t="s">
        <v>887</v>
      </c>
      <c r="B324" t="s">
        <v>123</v>
      </c>
      <c r="C324">
        <v>9699867576</v>
      </c>
      <c r="D324" t="s">
        <v>888</v>
      </c>
      <c r="E324" t="s">
        <v>59</v>
      </c>
      <c r="F324" t="s">
        <v>47</v>
      </c>
      <c r="G324" t="s">
        <v>61</v>
      </c>
      <c r="H324" s="1">
        <v>46120</v>
      </c>
      <c r="I324" s="1" t="str">
        <f>TEXT(Lead_Data[[#This Row],[Lead_Date]],"mmmm")</f>
        <v>April</v>
      </c>
      <c r="J324">
        <f ca="1">TODAY()-Lead_Data[[#This Row],[Lead_Date]]</f>
        <v>82</v>
      </c>
      <c r="K324" t="s">
        <v>42</v>
      </c>
      <c r="L324">
        <v>190753</v>
      </c>
      <c r="M324" t="str">
        <f>IF(Lead_Data[[#This Row],[Potential_Value]]&gt;100000,"High","Low")</f>
        <v>High</v>
      </c>
      <c r="N324" t="s">
        <v>83</v>
      </c>
    </row>
    <row r="325" spans="1:14" x14ac:dyDescent="0.3">
      <c r="A325" t="s">
        <v>889</v>
      </c>
      <c r="B325" t="s">
        <v>192</v>
      </c>
      <c r="C325">
        <v>9630257934</v>
      </c>
      <c r="D325" t="s">
        <v>890</v>
      </c>
      <c r="E325" t="s">
        <v>40</v>
      </c>
      <c r="F325" t="s">
        <v>29</v>
      </c>
      <c r="G325" t="s">
        <v>30</v>
      </c>
      <c r="H325" s="1">
        <v>46147</v>
      </c>
      <c r="I325" s="1" t="str">
        <f>TEXT(Lead_Data[[#This Row],[Lead_Date]],"mmmm")</f>
        <v>May</v>
      </c>
      <c r="J325">
        <f ca="1">TODAY()-Lead_Data[[#This Row],[Lead_Date]]</f>
        <v>55</v>
      </c>
      <c r="K325" t="s">
        <v>17</v>
      </c>
      <c r="L325">
        <v>29556</v>
      </c>
      <c r="M325" t="str">
        <f>IF(Lead_Data[[#This Row],[Potential_Value]]&gt;100000,"High","Low")</f>
        <v>Low</v>
      </c>
      <c r="N325" t="s">
        <v>50</v>
      </c>
    </row>
    <row r="326" spans="1:14" x14ac:dyDescent="0.3">
      <c r="A326" t="s">
        <v>891</v>
      </c>
      <c r="B326" t="s">
        <v>230</v>
      </c>
      <c r="C326">
        <v>9362689130</v>
      </c>
      <c r="D326" t="s">
        <v>892</v>
      </c>
      <c r="E326" t="s">
        <v>59</v>
      </c>
      <c r="F326" t="s">
        <v>41</v>
      </c>
      <c r="G326" t="s">
        <v>48</v>
      </c>
      <c r="H326" s="1">
        <v>46144</v>
      </c>
      <c r="I326" s="1" t="str">
        <f>TEXT(Lead_Data[[#This Row],[Lead_Date]],"mmmm")</f>
        <v>May</v>
      </c>
      <c r="J326">
        <f ca="1">TODAY()-Lead_Data[[#This Row],[Lead_Date]]</f>
        <v>58</v>
      </c>
      <c r="K326" t="s">
        <v>24</v>
      </c>
      <c r="L326">
        <v>70085</v>
      </c>
      <c r="M326" t="str">
        <f>IF(Lead_Data[[#This Row],[Potential_Value]]&gt;100000,"High","Low")</f>
        <v>Low</v>
      </c>
      <c r="N326" t="s">
        <v>18</v>
      </c>
    </row>
    <row r="327" spans="1:14" x14ac:dyDescent="0.3">
      <c r="A327" t="s">
        <v>893</v>
      </c>
      <c r="B327" t="s">
        <v>381</v>
      </c>
      <c r="C327">
        <v>9680901784</v>
      </c>
      <c r="D327" t="s">
        <v>894</v>
      </c>
      <c r="E327" t="s">
        <v>54</v>
      </c>
      <c r="F327" t="s">
        <v>72</v>
      </c>
      <c r="G327" t="s">
        <v>16</v>
      </c>
      <c r="H327" s="1">
        <v>46078</v>
      </c>
      <c r="I327" s="1" t="str">
        <f>TEXT(Lead_Data[[#This Row],[Lead_Date]],"mmmm")</f>
        <v>February</v>
      </c>
      <c r="J327">
        <f ca="1">TODAY()-Lead_Data[[#This Row],[Lead_Date]]</f>
        <v>124</v>
      </c>
      <c r="K327" t="s">
        <v>42</v>
      </c>
      <c r="L327">
        <v>21444</v>
      </c>
      <c r="M327" t="str">
        <f>IF(Lead_Data[[#This Row],[Potential_Value]]&gt;100000,"High","Low")</f>
        <v>Low</v>
      </c>
      <c r="N327" t="s">
        <v>50</v>
      </c>
    </row>
    <row r="328" spans="1:14" x14ac:dyDescent="0.3">
      <c r="A328" t="s">
        <v>895</v>
      </c>
      <c r="B328" t="s">
        <v>581</v>
      </c>
      <c r="C328">
        <v>9554475620</v>
      </c>
      <c r="D328" t="s">
        <v>896</v>
      </c>
      <c r="E328" t="s">
        <v>46</v>
      </c>
      <c r="F328" t="s">
        <v>29</v>
      </c>
      <c r="G328" t="s">
        <v>61</v>
      </c>
      <c r="H328" s="1">
        <v>46170</v>
      </c>
      <c r="I328" s="1" t="str">
        <f>TEXT(Lead_Data[[#This Row],[Lead_Date]],"mmmm")</f>
        <v>May</v>
      </c>
      <c r="J328">
        <f ca="1">TODAY()-Lead_Data[[#This Row],[Lead_Date]]</f>
        <v>32</v>
      </c>
      <c r="K328" t="s">
        <v>49</v>
      </c>
      <c r="L328">
        <v>11569</v>
      </c>
      <c r="M328" t="str">
        <f>IF(Lead_Data[[#This Row],[Potential_Value]]&gt;100000,"High","Low")</f>
        <v>Low</v>
      </c>
      <c r="N328" t="s">
        <v>83</v>
      </c>
    </row>
    <row r="329" spans="1:14" x14ac:dyDescent="0.3">
      <c r="A329" t="s">
        <v>897</v>
      </c>
      <c r="B329" t="s">
        <v>873</v>
      </c>
      <c r="C329">
        <v>9712753101</v>
      </c>
      <c r="D329" t="s">
        <v>898</v>
      </c>
      <c r="E329" t="s">
        <v>46</v>
      </c>
      <c r="F329" t="s">
        <v>47</v>
      </c>
      <c r="G329" t="s">
        <v>30</v>
      </c>
      <c r="H329" s="1">
        <v>46086</v>
      </c>
      <c r="I329" s="1" t="str">
        <f>TEXT(Lead_Data[[#This Row],[Lead_Date]],"mmmm")</f>
        <v>March</v>
      </c>
      <c r="J329">
        <f ca="1">TODAY()-Lead_Data[[#This Row],[Lead_Date]]</f>
        <v>116</v>
      </c>
      <c r="K329" t="s">
        <v>35</v>
      </c>
      <c r="L329">
        <v>48228</v>
      </c>
      <c r="M329" t="str">
        <f>IF(Lead_Data[[#This Row],[Potential_Value]]&gt;100000,"High","Low")</f>
        <v>Low</v>
      </c>
      <c r="N329" t="s">
        <v>50</v>
      </c>
    </row>
    <row r="330" spans="1:14" x14ac:dyDescent="0.3">
      <c r="A330" t="s">
        <v>899</v>
      </c>
      <c r="B330" t="s">
        <v>631</v>
      </c>
      <c r="C330">
        <v>9877109095</v>
      </c>
      <c r="D330" t="s">
        <v>900</v>
      </c>
      <c r="E330" t="s">
        <v>65</v>
      </c>
      <c r="F330" t="s">
        <v>47</v>
      </c>
      <c r="G330" t="s">
        <v>16</v>
      </c>
      <c r="H330" s="1">
        <v>46090</v>
      </c>
      <c r="I330" s="1" t="str">
        <f>TEXT(Lead_Data[[#This Row],[Lead_Date]],"mmmm")</f>
        <v>March</v>
      </c>
      <c r="J330">
        <f ca="1">TODAY()-Lead_Data[[#This Row],[Lead_Date]]</f>
        <v>112</v>
      </c>
      <c r="K330" t="s">
        <v>42</v>
      </c>
      <c r="L330">
        <v>163200</v>
      </c>
      <c r="M330" t="str">
        <f>IF(Lead_Data[[#This Row],[Potential_Value]]&gt;100000,"High","Low")</f>
        <v>High</v>
      </c>
      <c r="N330" t="s">
        <v>50</v>
      </c>
    </row>
    <row r="331" spans="1:14" x14ac:dyDescent="0.3">
      <c r="A331" t="s">
        <v>901</v>
      </c>
      <c r="B331" t="s">
        <v>246</v>
      </c>
      <c r="C331">
        <v>9836742073</v>
      </c>
      <c r="D331" t="s">
        <v>902</v>
      </c>
      <c r="E331" t="s">
        <v>28</v>
      </c>
      <c r="F331" t="s">
        <v>41</v>
      </c>
      <c r="G331" t="s">
        <v>30</v>
      </c>
      <c r="H331" s="1">
        <v>46132</v>
      </c>
      <c r="I331" s="1" t="str">
        <f>TEXT(Lead_Data[[#This Row],[Lead_Date]],"mmmm")</f>
        <v>April</v>
      </c>
      <c r="J331">
        <f ca="1">TODAY()-Lead_Data[[#This Row],[Lead_Date]]</f>
        <v>70</v>
      </c>
      <c r="K331" t="s">
        <v>49</v>
      </c>
      <c r="L331">
        <v>217592</v>
      </c>
      <c r="M331" t="str">
        <f>IF(Lead_Data[[#This Row],[Potential_Value]]&gt;100000,"High","Low")</f>
        <v>High</v>
      </c>
      <c r="N331" t="s">
        <v>83</v>
      </c>
    </row>
    <row r="332" spans="1:14" x14ac:dyDescent="0.3">
      <c r="A332" t="s">
        <v>903</v>
      </c>
      <c r="B332" t="s">
        <v>797</v>
      </c>
      <c r="C332">
        <v>9719667782</v>
      </c>
      <c r="D332" t="s">
        <v>904</v>
      </c>
      <c r="E332" t="s">
        <v>65</v>
      </c>
      <c r="F332" t="s">
        <v>41</v>
      </c>
      <c r="G332" t="s">
        <v>61</v>
      </c>
      <c r="H332" s="1">
        <v>46100</v>
      </c>
      <c r="I332" s="1" t="str">
        <f>TEXT(Lead_Data[[#This Row],[Lead_Date]],"mmmm")</f>
        <v>March</v>
      </c>
      <c r="J332">
        <f ca="1">TODAY()-Lead_Data[[#This Row],[Lead_Date]]</f>
        <v>102</v>
      </c>
      <c r="K332" t="s">
        <v>42</v>
      </c>
      <c r="L332">
        <v>233662</v>
      </c>
      <c r="M332" t="str">
        <f>IF(Lead_Data[[#This Row],[Potential_Value]]&gt;100000,"High","Low")</f>
        <v>High</v>
      </c>
      <c r="N332" t="s">
        <v>50</v>
      </c>
    </row>
    <row r="333" spans="1:14" x14ac:dyDescent="0.3">
      <c r="A333" t="s">
        <v>905</v>
      </c>
      <c r="B333" t="s">
        <v>678</v>
      </c>
      <c r="C333">
        <v>9554886122</v>
      </c>
      <c r="D333" t="s">
        <v>906</v>
      </c>
      <c r="E333" t="s">
        <v>65</v>
      </c>
      <c r="F333" t="s">
        <v>41</v>
      </c>
      <c r="G333" t="s">
        <v>61</v>
      </c>
      <c r="H333" s="1">
        <v>46038</v>
      </c>
      <c r="I333" s="1" t="str">
        <f>TEXT(Lead_Data[[#This Row],[Lead_Date]],"mmmm")</f>
        <v>January</v>
      </c>
      <c r="J333">
        <f ca="1">TODAY()-Lead_Data[[#This Row],[Lead_Date]]</f>
        <v>164</v>
      </c>
      <c r="K333" t="s">
        <v>24</v>
      </c>
      <c r="L333">
        <v>142050</v>
      </c>
      <c r="M333" t="str">
        <f>IF(Lead_Data[[#This Row],[Potential_Value]]&gt;100000,"High","Low")</f>
        <v>High</v>
      </c>
      <c r="N333" t="s">
        <v>83</v>
      </c>
    </row>
    <row r="334" spans="1:14" x14ac:dyDescent="0.3">
      <c r="A334" t="s">
        <v>907</v>
      </c>
      <c r="B334" t="s">
        <v>131</v>
      </c>
      <c r="C334">
        <v>9630241357</v>
      </c>
      <c r="D334" t="s">
        <v>908</v>
      </c>
      <c r="E334" t="s">
        <v>22</v>
      </c>
      <c r="F334" t="s">
        <v>23</v>
      </c>
      <c r="G334" t="s">
        <v>48</v>
      </c>
      <c r="H334" s="1">
        <v>46057</v>
      </c>
      <c r="I334" s="1" t="str">
        <f>TEXT(Lead_Data[[#This Row],[Lead_Date]],"mmmm")</f>
        <v>February</v>
      </c>
      <c r="J334">
        <f ca="1">TODAY()-Lead_Data[[#This Row],[Lead_Date]]</f>
        <v>145</v>
      </c>
      <c r="K334" t="s">
        <v>24</v>
      </c>
      <c r="L334">
        <v>126789</v>
      </c>
      <c r="M334" t="str">
        <f>IF(Lead_Data[[#This Row],[Potential_Value]]&gt;100000,"High","Low")</f>
        <v>High</v>
      </c>
      <c r="N334" t="s">
        <v>55</v>
      </c>
    </row>
    <row r="335" spans="1:14" x14ac:dyDescent="0.3">
      <c r="A335" t="s">
        <v>909</v>
      </c>
      <c r="B335" t="s">
        <v>910</v>
      </c>
      <c r="C335">
        <v>9788758005</v>
      </c>
      <c r="D335" t="s">
        <v>911</v>
      </c>
      <c r="E335" t="s">
        <v>59</v>
      </c>
      <c r="F335" t="s">
        <v>15</v>
      </c>
      <c r="G335" t="s">
        <v>61</v>
      </c>
      <c r="H335" s="1">
        <v>46039</v>
      </c>
      <c r="I335" s="1" t="str">
        <f>TEXT(Lead_Data[[#This Row],[Lead_Date]],"mmmm")</f>
        <v>January</v>
      </c>
      <c r="J335">
        <f ca="1">TODAY()-Lead_Data[[#This Row],[Lead_Date]]</f>
        <v>163</v>
      </c>
      <c r="K335" t="s">
        <v>49</v>
      </c>
      <c r="L335">
        <v>200488</v>
      </c>
      <c r="M335" t="str">
        <f>IF(Lead_Data[[#This Row],[Potential_Value]]&gt;100000,"High","Low")</f>
        <v>High</v>
      </c>
      <c r="N335" t="s">
        <v>18</v>
      </c>
    </row>
    <row r="336" spans="1:14" x14ac:dyDescent="0.3">
      <c r="A336" t="s">
        <v>912</v>
      </c>
      <c r="B336" t="s">
        <v>913</v>
      </c>
      <c r="C336">
        <v>9619865074</v>
      </c>
      <c r="D336" t="s">
        <v>914</v>
      </c>
      <c r="E336" t="s">
        <v>28</v>
      </c>
      <c r="F336" t="s">
        <v>23</v>
      </c>
      <c r="G336" t="s">
        <v>16</v>
      </c>
      <c r="H336" s="1">
        <v>46071</v>
      </c>
      <c r="I336" s="1" t="str">
        <f>TEXT(Lead_Data[[#This Row],[Lead_Date]],"mmmm")</f>
        <v>February</v>
      </c>
      <c r="J336">
        <f ca="1">TODAY()-Lead_Data[[#This Row],[Lead_Date]]</f>
        <v>131</v>
      </c>
      <c r="K336" t="s">
        <v>31</v>
      </c>
      <c r="L336">
        <v>89753</v>
      </c>
      <c r="M336" t="str">
        <f>IF(Lead_Data[[#This Row],[Potential_Value]]&gt;100000,"High","Low")</f>
        <v>Low</v>
      </c>
      <c r="N336" t="s">
        <v>18</v>
      </c>
    </row>
    <row r="337" spans="1:14" x14ac:dyDescent="0.3">
      <c r="A337" t="s">
        <v>915</v>
      </c>
      <c r="B337" t="s">
        <v>116</v>
      </c>
      <c r="C337">
        <v>9519092856</v>
      </c>
      <c r="D337" t="s">
        <v>916</v>
      </c>
      <c r="E337" t="s">
        <v>65</v>
      </c>
      <c r="F337" t="s">
        <v>72</v>
      </c>
      <c r="G337" t="s">
        <v>61</v>
      </c>
      <c r="H337" s="1">
        <v>46147</v>
      </c>
      <c r="I337" s="1" t="str">
        <f>TEXT(Lead_Data[[#This Row],[Lead_Date]],"mmmm")</f>
        <v>May</v>
      </c>
      <c r="J337">
        <f ca="1">TODAY()-Lead_Data[[#This Row],[Lead_Date]]</f>
        <v>55</v>
      </c>
      <c r="K337" t="s">
        <v>49</v>
      </c>
      <c r="L337">
        <v>153257</v>
      </c>
      <c r="M337" t="str">
        <f>IF(Lead_Data[[#This Row],[Potential_Value]]&gt;100000,"High","Low")</f>
        <v>High</v>
      </c>
      <c r="N337" t="s">
        <v>36</v>
      </c>
    </row>
    <row r="338" spans="1:14" x14ac:dyDescent="0.3">
      <c r="A338" t="s">
        <v>917</v>
      </c>
      <c r="B338" t="s">
        <v>918</v>
      </c>
      <c r="C338">
        <v>9712693149</v>
      </c>
      <c r="D338" t="s">
        <v>919</v>
      </c>
      <c r="E338" t="s">
        <v>208</v>
      </c>
      <c r="F338" t="s">
        <v>29</v>
      </c>
      <c r="G338" t="s">
        <v>48</v>
      </c>
      <c r="H338" s="1">
        <v>46078</v>
      </c>
      <c r="I338" s="1" t="str">
        <f>TEXT(Lead_Data[[#This Row],[Lead_Date]],"mmmm")</f>
        <v>February</v>
      </c>
      <c r="J338">
        <f ca="1">TODAY()-Lead_Data[[#This Row],[Lead_Date]]</f>
        <v>124</v>
      </c>
      <c r="K338" t="s">
        <v>31</v>
      </c>
      <c r="L338">
        <v>244052</v>
      </c>
      <c r="M338" t="str">
        <f>IF(Lead_Data[[#This Row],[Potential_Value]]&gt;100000,"High","Low")</f>
        <v>High</v>
      </c>
      <c r="N338" t="s">
        <v>18</v>
      </c>
    </row>
    <row r="339" spans="1:14" x14ac:dyDescent="0.3">
      <c r="A339" t="s">
        <v>920</v>
      </c>
      <c r="B339" t="s">
        <v>705</v>
      </c>
      <c r="C339">
        <v>9836402095</v>
      </c>
      <c r="D339" t="s">
        <v>921</v>
      </c>
      <c r="E339" t="s">
        <v>208</v>
      </c>
      <c r="F339" t="s">
        <v>72</v>
      </c>
      <c r="G339" t="s">
        <v>16</v>
      </c>
      <c r="H339" s="1">
        <v>46084</v>
      </c>
      <c r="I339" s="1" t="str">
        <f>TEXT(Lead_Data[[#This Row],[Lead_Date]],"mmmm")</f>
        <v>March</v>
      </c>
      <c r="J339">
        <f ca="1">TODAY()-Lead_Data[[#This Row],[Lead_Date]]</f>
        <v>118</v>
      </c>
      <c r="K339" t="s">
        <v>17</v>
      </c>
      <c r="L339">
        <v>30790</v>
      </c>
      <c r="M339" t="str">
        <f>IF(Lead_Data[[#This Row],[Potential_Value]]&gt;100000,"High","Low")</f>
        <v>Low</v>
      </c>
      <c r="N339" t="s">
        <v>36</v>
      </c>
    </row>
    <row r="340" spans="1:14" x14ac:dyDescent="0.3">
      <c r="A340" t="s">
        <v>922</v>
      </c>
      <c r="B340" t="s">
        <v>472</v>
      </c>
      <c r="C340">
        <v>9710677811</v>
      </c>
      <c r="D340" t="s">
        <v>923</v>
      </c>
      <c r="E340" t="s">
        <v>54</v>
      </c>
      <c r="F340" t="s">
        <v>47</v>
      </c>
      <c r="G340" t="s">
        <v>30</v>
      </c>
      <c r="H340" s="1">
        <v>46071</v>
      </c>
      <c r="I340" s="1" t="str">
        <f>TEXT(Lead_Data[[#This Row],[Lead_Date]],"mmmm")</f>
        <v>February</v>
      </c>
      <c r="J340">
        <f ca="1">TODAY()-Lead_Data[[#This Row],[Lead_Date]]</f>
        <v>131</v>
      </c>
      <c r="K340" t="s">
        <v>35</v>
      </c>
      <c r="L340">
        <v>94645</v>
      </c>
      <c r="M340" t="str">
        <f>IF(Lead_Data[[#This Row],[Potential_Value]]&gt;100000,"High","Low")</f>
        <v>Low</v>
      </c>
      <c r="N340" t="s">
        <v>36</v>
      </c>
    </row>
    <row r="341" spans="1:14" x14ac:dyDescent="0.3">
      <c r="A341" t="s">
        <v>924</v>
      </c>
      <c r="B341" t="s">
        <v>649</v>
      </c>
      <c r="C341">
        <v>9897098329</v>
      </c>
      <c r="D341" t="s">
        <v>925</v>
      </c>
      <c r="E341" t="s">
        <v>76</v>
      </c>
      <c r="F341" t="s">
        <v>47</v>
      </c>
      <c r="G341" t="s">
        <v>61</v>
      </c>
      <c r="H341" s="1">
        <v>46147</v>
      </c>
      <c r="I341" s="1" t="str">
        <f>TEXT(Lead_Data[[#This Row],[Lead_Date]],"mmmm")</f>
        <v>May</v>
      </c>
      <c r="J341">
        <f ca="1">TODAY()-Lead_Data[[#This Row],[Lead_Date]]</f>
        <v>55</v>
      </c>
      <c r="K341" t="s">
        <v>31</v>
      </c>
      <c r="L341">
        <v>25059</v>
      </c>
      <c r="M341" t="str">
        <f>IF(Lead_Data[[#This Row],[Potential_Value]]&gt;100000,"High","Low")</f>
        <v>Low</v>
      </c>
      <c r="N341" t="s">
        <v>55</v>
      </c>
    </row>
    <row r="342" spans="1:14" x14ac:dyDescent="0.3">
      <c r="A342" t="s">
        <v>926</v>
      </c>
      <c r="B342" t="s">
        <v>95</v>
      </c>
      <c r="C342">
        <v>9354898473</v>
      </c>
      <c r="D342" t="s">
        <v>927</v>
      </c>
      <c r="E342" t="s">
        <v>28</v>
      </c>
      <c r="F342" t="s">
        <v>29</v>
      </c>
      <c r="G342" t="s">
        <v>61</v>
      </c>
      <c r="H342" s="1">
        <v>46149</v>
      </c>
      <c r="I342" s="1" t="str">
        <f>TEXT(Lead_Data[[#This Row],[Lead_Date]],"mmmm")</f>
        <v>May</v>
      </c>
      <c r="J342">
        <f ca="1">TODAY()-Lead_Data[[#This Row],[Lead_Date]]</f>
        <v>53</v>
      </c>
      <c r="K342" t="s">
        <v>24</v>
      </c>
      <c r="L342">
        <v>238934</v>
      </c>
      <c r="M342" t="str">
        <f>IF(Lead_Data[[#This Row],[Potential_Value]]&gt;100000,"High","Low")</f>
        <v>High</v>
      </c>
      <c r="N342" t="s">
        <v>36</v>
      </c>
    </row>
    <row r="343" spans="1:14" x14ac:dyDescent="0.3">
      <c r="A343" t="s">
        <v>928</v>
      </c>
      <c r="B343" t="s">
        <v>929</v>
      </c>
      <c r="C343">
        <v>9397790805</v>
      </c>
      <c r="D343" t="s">
        <v>930</v>
      </c>
      <c r="E343" t="s">
        <v>208</v>
      </c>
      <c r="F343" t="s">
        <v>29</v>
      </c>
      <c r="G343" t="s">
        <v>16</v>
      </c>
      <c r="H343" s="1">
        <v>46103</v>
      </c>
      <c r="I343" s="1" t="str">
        <f>TEXT(Lead_Data[[#This Row],[Lead_Date]],"mmmm")</f>
        <v>March</v>
      </c>
      <c r="J343">
        <f ca="1">TODAY()-Lead_Data[[#This Row],[Lead_Date]]</f>
        <v>99</v>
      </c>
      <c r="K343" t="s">
        <v>35</v>
      </c>
      <c r="L343">
        <v>199827</v>
      </c>
      <c r="M343" t="str">
        <f>IF(Lead_Data[[#This Row],[Potential_Value]]&gt;100000,"High","Low")</f>
        <v>High</v>
      </c>
      <c r="N343" t="s">
        <v>83</v>
      </c>
    </row>
    <row r="344" spans="1:14" x14ac:dyDescent="0.3">
      <c r="A344" t="s">
        <v>931</v>
      </c>
      <c r="B344" t="s">
        <v>560</v>
      </c>
      <c r="C344">
        <v>9738250422</v>
      </c>
      <c r="D344" t="s">
        <v>932</v>
      </c>
      <c r="E344" t="s">
        <v>40</v>
      </c>
      <c r="F344" t="s">
        <v>60</v>
      </c>
      <c r="G344" t="s">
        <v>30</v>
      </c>
      <c r="H344" s="1">
        <v>46059</v>
      </c>
      <c r="I344" s="1" t="str">
        <f>TEXT(Lead_Data[[#This Row],[Lead_Date]],"mmmm")</f>
        <v>February</v>
      </c>
      <c r="J344">
        <f ca="1">TODAY()-Lead_Data[[#This Row],[Lead_Date]]</f>
        <v>143</v>
      </c>
      <c r="K344" t="s">
        <v>49</v>
      </c>
      <c r="L344">
        <v>223389</v>
      </c>
      <c r="M344" t="str">
        <f>IF(Lead_Data[[#This Row],[Potential_Value]]&gt;100000,"High","Low")</f>
        <v>High</v>
      </c>
      <c r="N344" t="s">
        <v>83</v>
      </c>
    </row>
    <row r="345" spans="1:14" x14ac:dyDescent="0.3">
      <c r="A345" t="s">
        <v>933</v>
      </c>
      <c r="B345" t="s">
        <v>378</v>
      </c>
      <c r="C345">
        <v>9384490137</v>
      </c>
      <c r="D345" t="s">
        <v>934</v>
      </c>
      <c r="E345" t="s">
        <v>28</v>
      </c>
      <c r="F345" t="s">
        <v>47</v>
      </c>
      <c r="G345" t="s">
        <v>61</v>
      </c>
      <c r="H345" s="1">
        <v>46062</v>
      </c>
      <c r="I345" s="1" t="str">
        <f>TEXT(Lead_Data[[#This Row],[Lead_Date]],"mmmm")</f>
        <v>February</v>
      </c>
      <c r="J345">
        <f ca="1">TODAY()-Lead_Data[[#This Row],[Lead_Date]]</f>
        <v>140</v>
      </c>
      <c r="K345" t="s">
        <v>31</v>
      </c>
      <c r="L345">
        <v>204270</v>
      </c>
      <c r="M345" t="str">
        <f>IF(Lead_Data[[#This Row],[Potential_Value]]&gt;100000,"High","Low")</f>
        <v>High</v>
      </c>
      <c r="N345" t="s">
        <v>18</v>
      </c>
    </row>
    <row r="346" spans="1:14" x14ac:dyDescent="0.3">
      <c r="A346" t="s">
        <v>935</v>
      </c>
      <c r="B346" t="s">
        <v>550</v>
      </c>
      <c r="C346">
        <v>9514245750</v>
      </c>
      <c r="D346" t="s">
        <v>936</v>
      </c>
      <c r="E346" t="s">
        <v>54</v>
      </c>
      <c r="F346" t="s">
        <v>41</v>
      </c>
      <c r="G346" t="s">
        <v>16</v>
      </c>
      <c r="H346" s="1">
        <v>46188</v>
      </c>
      <c r="I346" s="1" t="str">
        <f>TEXT(Lead_Data[[#This Row],[Lead_Date]],"mmmm")</f>
        <v>June</v>
      </c>
      <c r="J346">
        <f ca="1">TODAY()-Lead_Data[[#This Row],[Lead_Date]]</f>
        <v>14</v>
      </c>
      <c r="K346" t="s">
        <v>35</v>
      </c>
      <c r="L346">
        <v>128793</v>
      </c>
      <c r="M346" t="str">
        <f>IF(Lead_Data[[#This Row],[Potential_Value]]&gt;100000,"High","Low")</f>
        <v>High</v>
      </c>
      <c r="N346" t="s">
        <v>18</v>
      </c>
    </row>
    <row r="347" spans="1:14" x14ac:dyDescent="0.3">
      <c r="A347" t="s">
        <v>937</v>
      </c>
      <c r="B347" t="s">
        <v>280</v>
      </c>
      <c r="C347">
        <v>9346766039</v>
      </c>
      <c r="D347" t="s">
        <v>938</v>
      </c>
      <c r="E347" t="s">
        <v>54</v>
      </c>
      <c r="F347" t="s">
        <v>23</v>
      </c>
      <c r="G347" t="s">
        <v>16</v>
      </c>
      <c r="H347" s="1">
        <v>46056</v>
      </c>
      <c r="I347" s="1" t="str">
        <f>TEXT(Lead_Data[[#This Row],[Lead_Date]],"mmmm")</f>
        <v>February</v>
      </c>
      <c r="J347">
        <f ca="1">TODAY()-Lead_Data[[#This Row],[Lead_Date]]</f>
        <v>146</v>
      </c>
      <c r="K347" t="s">
        <v>24</v>
      </c>
      <c r="L347">
        <v>36159</v>
      </c>
      <c r="M347" t="str">
        <f>IF(Lead_Data[[#This Row],[Potential_Value]]&gt;100000,"High","Low")</f>
        <v>Low</v>
      </c>
      <c r="N347" t="s">
        <v>83</v>
      </c>
    </row>
    <row r="348" spans="1:14" x14ac:dyDescent="0.3">
      <c r="A348" t="s">
        <v>939</v>
      </c>
      <c r="B348" t="s">
        <v>940</v>
      </c>
      <c r="C348">
        <v>9522067816</v>
      </c>
      <c r="D348" t="s">
        <v>941</v>
      </c>
      <c r="E348" t="s">
        <v>28</v>
      </c>
      <c r="F348" t="s">
        <v>72</v>
      </c>
      <c r="G348" t="s">
        <v>30</v>
      </c>
      <c r="H348" s="1">
        <v>46030</v>
      </c>
      <c r="I348" s="1" t="str">
        <f>TEXT(Lead_Data[[#This Row],[Lead_Date]],"mmmm")</f>
        <v>January</v>
      </c>
      <c r="J348">
        <f ca="1">TODAY()-Lead_Data[[#This Row],[Lead_Date]]</f>
        <v>172</v>
      </c>
      <c r="K348" t="s">
        <v>17</v>
      </c>
      <c r="L348">
        <v>152415</v>
      </c>
      <c r="M348" t="str">
        <f>IF(Lead_Data[[#This Row],[Potential_Value]]&gt;100000,"High","Low")</f>
        <v>High</v>
      </c>
      <c r="N348" t="s">
        <v>18</v>
      </c>
    </row>
    <row r="349" spans="1:14" x14ac:dyDescent="0.3">
      <c r="A349" t="s">
        <v>942</v>
      </c>
      <c r="B349" t="s">
        <v>113</v>
      </c>
      <c r="C349">
        <v>9744777568</v>
      </c>
      <c r="D349" t="s">
        <v>943</v>
      </c>
      <c r="E349" t="s">
        <v>65</v>
      </c>
      <c r="F349" t="s">
        <v>41</v>
      </c>
      <c r="G349" t="s">
        <v>93</v>
      </c>
      <c r="H349" s="1">
        <v>46178</v>
      </c>
      <c r="I349" s="1" t="str">
        <f>TEXT(Lead_Data[[#This Row],[Lead_Date]],"mmmm")</f>
        <v>June</v>
      </c>
      <c r="J349">
        <f ca="1">TODAY()-Lead_Data[[#This Row],[Lead_Date]]</f>
        <v>24</v>
      </c>
      <c r="K349" t="s">
        <v>31</v>
      </c>
      <c r="L349">
        <v>238284</v>
      </c>
      <c r="M349" t="str">
        <f>IF(Lead_Data[[#This Row],[Potential_Value]]&gt;100000,"High","Low")</f>
        <v>High</v>
      </c>
      <c r="N349" t="s">
        <v>50</v>
      </c>
    </row>
    <row r="350" spans="1:14" x14ac:dyDescent="0.3">
      <c r="A350" t="s">
        <v>944</v>
      </c>
      <c r="B350" t="s">
        <v>686</v>
      </c>
      <c r="C350">
        <v>9769264782</v>
      </c>
      <c r="D350" t="s">
        <v>945</v>
      </c>
      <c r="E350" t="s">
        <v>22</v>
      </c>
      <c r="F350" t="s">
        <v>41</v>
      </c>
      <c r="G350" t="s">
        <v>61</v>
      </c>
      <c r="H350" s="1">
        <v>46150</v>
      </c>
      <c r="I350" s="1" t="str">
        <f>TEXT(Lead_Data[[#This Row],[Lead_Date]],"mmmm")</f>
        <v>May</v>
      </c>
      <c r="J350">
        <f ca="1">TODAY()-Lead_Data[[#This Row],[Lead_Date]]</f>
        <v>52</v>
      </c>
      <c r="K350" t="s">
        <v>24</v>
      </c>
      <c r="L350">
        <v>130612</v>
      </c>
      <c r="M350" t="str">
        <f>IF(Lead_Data[[#This Row],[Potential_Value]]&gt;100000,"High","Low")</f>
        <v>High</v>
      </c>
      <c r="N350" t="s">
        <v>50</v>
      </c>
    </row>
    <row r="351" spans="1:14" x14ac:dyDescent="0.3">
      <c r="A351" t="s">
        <v>946</v>
      </c>
      <c r="B351" t="s">
        <v>498</v>
      </c>
      <c r="C351">
        <v>9824469243</v>
      </c>
      <c r="D351" t="s">
        <v>947</v>
      </c>
      <c r="E351" t="s">
        <v>208</v>
      </c>
      <c r="F351" t="s">
        <v>23</v>
      </c>
      <c r="G351" t="s">
        <v>48</v>
      </c>
      <c r="H351" s="1">
        <v>46191</v>
      </c>
      <c r="I351" s="1" t="str">
        <f>TEXT(Lead_Data[[#This Row],[Lead_Date]],"mmmm")</f>
        <v>June</v>
      </c>
      <c r="J351">
        <f ca="1">TODAY()-Lead_Data[[#This Row],[Lead_Date]]</f>
        <v>11</v>
      </c>
      <c r="K351" t="s">
        <v>35</v>
      </c>
      <c r="L351">
        <v>236507</v>
      </c>
      <c r="M351" t="str">
        <f>IF(Lead_Data[[#This Row],[Potential_Value]]&gt;100000,"High","Low")</f>
        <v>High</v>
      </c>
      <c r="N351" t="s">
        <v>83</v>
      </c>
    </row>
    <row r="352" spans="1:14" x14ac:dyDescent="0.3">
      <c r="A352" t="s">
        <v>948</v>
      </c>
      <c r="B352" t="s">
        <v>295</v>
      </c>
      <c r="C352">
        <v>9565019522</v>
      </c>
      <c r="D352" t="s">
        <v>949</v>
      </c>
      <c r="E352" t="s">
        <v>22</v>
      </c>
      <c r="F352" t="s">
        <v>23</v>
      </c>
      <c r="G352" t="s">
        <v>61</v>
      </c>
      <c r="H352" s="1">
        <v>46119</v>
      </c>
      <c r="I352" s="1" t="str">
        <f>TEXT(Lead_Data[[#This Row],[Lead_Date]],"mmmm")</f>
        <v>April</v>
      </c>
      <c r="J352">
        <f ca="1">TODAY()-Lead_Data[[#This Row],[Lead_Date]]</f>
        <v>83</v>
      </c>
      <c r="K352" t="s">
        <v>17</v>
      </c>
      <c r="L352">
        <v>78765</v>
      </c>
      <c r="M352" t="str">
        <f>IF(Lead_Data[[#This Row],[Potential_Value]]&gt;100000,"High","Low")</f>
        <v>Low</v>
      </c>
      <c r="N352" t="s">
        <v>55</v>
      </c>
    </row>
    <row r="353" spans="1:14" x14ac:dyDescent="0.3">
      <c r="A353" t="s">
        <v>950</v>
      </c>
      <c r="B353" t="s">
        <v>951</v>
      </c>
      <c r="C353">
        <v>9753761075</v>
      </c>
      <c r="D353" t="s">
        <v>952</v>
      </c>
      <c r="E353" t="s">
        <v>54</v>
      </c>
      <c r="F353" t="s">
        <v>15</v>
      </c>
      <c r="G353" t="s">
        <v>48</v>
      </c>
      <c r="H353" s="1">
        <v>46131</v>
      </c>
      <c r="I353" s="1" t="str">
        <f>TEXT(Lead_Data[[#This Row],[Lead_Date]],"mmmm")</f>
        <v>April</v>
      </c>
      <c r="J353">
        <f ca="1">TODAY()-Lead_Data[[#This Row],[Lead_Date]]</f>
        <v>71</v>
      </c>
      <c r="K353" t="s">
        <v>31</v>
      </c>
      <c r="L353">
        <v>159297</v>
      </c>
      <c r="M353" t="str">
        <f>IF(Lead_Data[[#This Row],[Potential_Value]]&gt;100000,"High","Low")</f>
        <v>High</v>
      </c>
      <c r="N353" t="s">
        <v>50</v>
      </c>
    </row>
    <row r="354" spans="1:14" x14ac:dyDescent="0.3">
      <c r="A354" t="s">
        <v>953</v>
      </c>
      <c r="B354" t="s">
        <v>954</v>
      </c>
      <c r="C354">
        <v>9628324032</v>
      </c>
      <c r="D354" t="s">
        <v>955</v>
      </c>
      <c r="E354" t="s">
        <v>54</v>
      </c>
      <c r="F354" t="s">
        <v>23</v>
      </c>
      <c r="G354" t="s">
        <v>61</v>
      </c>
      <c r="H354" s="1">
        <v>46099</v>
      </c>
      <c r="I354" s="1" t="str">
        <f>TEXT(Lead_Data[[#This Row],[Lead_Date]],"mmmm")</f>
        <v>March</v>
      </c>
      <c r="J354">
        <f ca="1">TODAY()-Lead_Data[[#This Row],[Lead_Date]]</f>
        <v>103</v>
      </c>
      <c r="K354" t="s">
        <v>17</v>
      </c>
      <c r="L354">
        <v>137284</v>
      </c>
      <c r="M354" t="str">
        <f>IF(Lead_Data[[#This Row],[Potential_Value]]&gt;100000,"High","Low")</f>
        <v>High</v>
      </c>
      <c r="N354" t="s">
        <v>50</v>
      </c>
    </row>
    <row r="355" spans="1:14" x14ac:dyDescent="0.3">
      <c r="A355" t="s">
        <v>956</v>
      </c>
      <c r="B355" t="s">
        <v>387</v>
      </c>
      <c r="C355">
        <v>9390207451</v>
      </c>
      <c r="D355" t="s">
        <v>957</v>
      </c>
      <c r="E355" t="s">
        <v>22</v>
      </c>
      <c r="F355" t="s">
        <v>47</v>
      </c>
      <c r="G355" t="s">
        <v>30</v>
      </c>
      <c r="H355" s="1">
        <v>46138</v>
      </c>
      <c r="I355" s="1" t="str">
        <f>TEXT(Lead_Data[[#This Row],[Lead_Date]],"mmmm")</f>
        <v>April</v>
      </c>
      <c r="J355">
        <f ca="1">TODAY()-Lead_Data[[#This Row],[Lead_Date]]</f>
        <v>64</v>
      </c>
      <c r="K355" t="s">
        <v>31</v>
      </c>
      <c r="L355">
        <v>233175</v>
      </c>
      <c r="M355" t="str">
        <f>IF(Lead_Data[[#This Row],[Potential_Value]]&gt;100000,"High","Low")</f>
        <v>High</v>
      </c>
      <c r="N355" t="s">
        <v>83</v>
      </c>
    </row>
    <row r="356" spans="1:14" x14ac:dyDescent="0.3">
      <c r="A356" t="s">
        <v>958</v>
      </c>
      <c r="B356" t="s">
        <v>959</v>
      </c>
      <c r="C356">
        <v>9534467518</v>
      </c>
      <c r="D356" t="s">
        <v>960</v>
      </c>
      <c r="E356" t="s">
        <v>59</v>
      </c>
      <c r="F356" t="s">
        <v>15</v>
      </c>
      <c r="G356" t="s">
        <v>30</v>
      </c>
      <c r="H356" s="1">
        <v>46134</v>
      </c>
      <c r="I356" s="1" t="str">
        <f>TEXT(Lead_Data[[#This Row],[Lead_Date]],"mmmm")</f>
        <v>April</v>
      </c>
      <c r="J356">
        <f ca="1">TODAY()-Lead_Data[[#This Row],[Lead_Date]]</f>
        <v>68</v>
      </c>
      <c r="K356" t="s">
        <v>17</v>
      </c>
      <c r="L356">
        <v>49826</v>
      </c>
      <c r="M356" t="str">
        <f>IF(Lead_Data[[#This Row],[Potential_Value]]&gt;100000,"High","Low")</f>
        <v>Low</v>
      </c>
      <c r="N356" t="s">
        <v>36</v>
      </c>
    </row>
    <row r="357" spans="1:14" x14ac:dyDescent="0.3">
      <c r="A357" t="s">
        <v>961</v>
      </c>
      <c r="B357" t="s">
        <v>520</v>
      </c>
      <c r="C357">
        <v>9777461806</v>
      </c>
      <c r="D357" t="s">
        <v>962</v>
      </c>
      <c r="E357" t="s">
        <v>14</v>
      </c>
      <c r="F357" t="s">
        <v>60</v>
      </c>
      <c r="G357" t="s">
        <v>93</v>
      </c>
      <c r="H357" s="1">
        <v>46113</v>
      </c>
      <c r="I357" s="1" t="str">
        <f>TEXT(Lead_Data[[#This Row],[Lead_Date]],"mmmm")</f>
        <v>April</v>
      </c>
      <c r="J357">
        <f ca="1">TODAY()-Lead_Data[[#This Row],[Lead_Date]]</f>
        <v>89</v>
      </c>
      <c r="K357" t="s">
        <v>24</v>
      </c>
      <c r="L357">
        <v>188983</v>
      </c>
      <c r="M357" t="str">
        <f>IF(Lead_Data[[#This Row],[Potential_Value]]&gt;100000,"High","Low")</f>
        <v>High</v>
      </c>
      <c r="N357" t="s">
        <v>55</v>
      </c>
    </row>
    <row r="358" spans="1:14" x14ac:dyDescent="0.3">
      <c r="A358" t="s">
        <v>963</v>
      </c>
      <c r="B358" t="s">
        <v>270</v>
      </c>
      <c r="C358">
        <v>9555052458</v>
      </c>
      <c r="D358" t="s">
        <v>964</v>
      </c>
      <c r="E358" t="s">
        <v>28</v>
      </c>
      <c r="F358" t="s">
        <v>72</v>
      </c>
      <c r="G358" t="s">
        <v>93</v>
      </c>
      <c r="H358" s="1">
        <v>46031</v>
      </c>
      <c r="I358" s="1" t="str">
        <f>TEXT(Lead_Data[[#This Row],[Lead_Date]],"mmmm")</f>
        <v>January</v>
      </c>
      <c r="J358">
        <f ca="1">TODAY()-Lead_Data[[#This Row],[Lead_Date]]</f>
        <v>171</v>
      </c>
      <c r="K358" t="s">
        <v>35</v>
      </c>
      <c r="L358">
        <v>190737</v>
      </c>
      <c r="M358" t="str">
        <f>IF(Lead_Data[[#This Row],[Potential_Value]]&gt;100000,"High","Low")</f>
        <v>High</v>
      </c>
      <c r="N358" t="s">
        <v>36</v>
      </c>
    </row>
    <row r="359" spans="1:14" x14ac:dyDescent="0.3">
      <c r="A359" t="s">
        <v>965</v>
      </c>
      <c r="B359" t="s">
        <v>666</v>
      </c>
      <c r="C359">
        <v>9341088683</v>
      </c>
      <c r="D359" t="s">
        <v>966</v>
      </c>
      <c r="E359" t="s">
        <v>76</v>
      </c>
      <c r="F359" t="s">
        <v>41</v>
      </c>
      <c r="G359" t="s">
        <v>30</v>
      </c>
      <c r="H359" s="1">
        <v>46170</v>
      </c>
      <c r="I359" s="1" t="str">
        <f>TEXT(Lead_Data[[#This Row],[Lead_Date]],"mmmm")</f>
        <v>May</v>
      </c>
      <c r="J359">
        <f ca="1">TODAY()-Lead_Data[[#This Row],[Lead_Date]]</f>
        <v>32</v>
      </c>
      <c r="K359" t="s">
        <v>35</v>
      </c>
      <c r="L359">
        <v>15225</v>
      </c>
      <c r="M359" t="str">
        <f>IF(Lead_Data[[#This Row],[Potential_Value]]&gt;100000,"High","Low")</f>
        <v>Low</v>
      </c>
      <c r="N359" t="s">
        <v>36</v>
      </c>
    </row>
    <row r="360" spans="1:14" x14ac:dyDescent="0.3">
      <c r="A360" t="s">
        <v>967</v>
      </c>
      <c r="B360" t="s">
        <v>235</v>
      </c>
      <c r="C360">
        <v>9826168352</v>
      </c>
      <c r="D360" t="s">
        <v>968</v>
      </c>
      <c r="E360" t="s">
        <v>59</v>
      </c>
      <c r="F360" t="s">
        <v>47</v>
      </c>
      <c r="G360" t="s">
        <v>48</v>
      </c>
      <c r="H360" s="1">
        <v>46147</v>
      </c>
      <c r="I360" s="1" t="str">
        <f>TEXT(Lead_Data[[#This Row],[Lead_Date]],"mmmm")</f>
        <v>May</v>
      </c>
      <c r="J360">
        <f ca="1">TODAY()-Lead_Data[[#This Row],[Lead_Date]]</f>
        <v>55</v>
      </c>
      <c r="K360" t="s">
        <v>17</v>
      </c>
      <c r="L360">
        <v>56918</v>
      </c>
      <c r="M360" t="str">
        <f>IF(Lead_Data[[#This Row],[Potential_Value]]&gt;100000,"High","Low")</f>
        <v>Low</v>
      </c>
      <c r="N360" t="s">
        <v>50</v>
      </c>
    </row>
    <row r="361" spans="1:14" x14ac:dyDescent="0.3">
      <c r="A361" t="s">
        <v>969</v>
      </c>
      <c r="B361" t="s">
        <v>358</v>
      </c>
      <c r="C361">
        <v>9377206680</v>
      </c>
      <c r="D361" t="s">
        <v>970</v>
      </c>
      <c r="E361" t="s">
        <v>40</v>
      </c>
      <c r="F361" t="s">
        <v>15</v>
      </c>
      <c r="G361" t="s">
        <v>48</v>
      </c>
      <c r="H361" s="1">
        <v>46051</v>
      </c>
      <c r="I361" s="1" t="str">
        <f>TEXT(Lead_Data[[#This Row],[Lead_Date]],"mmmm")</f>
        <v>January</v>
      </c>
      <c r="J361">
        <f ca="1">TODAY()-Lead_Data[[#This Row],[Lead_Date]]</f>
        <v>151</v>
      </c>
      <c r="K361" t="s">
        <v>17</v>
      </c>
      <c r="L361">
        <v>101604</v>
      </c>
      <c r="M361" t="str">
        <f>IF(Lead_Data[[#This Row],[Potential_Value]]&gt;100000,"High","Low")</f>
        <v>High</v>
      </c>
      <c r="N361" t="s">
        <v>50</v>
      </c>
    </row>
    <row r="362" spans="1:14" x14ac:dyDescent="0.3">
      <c r="A362" t="s">
        <v>971</v>
      </c>
      <c r="B362" t="s">
        <v>412</v>
      </c>
      <c r="C362">
        <v>9633786020</v>
      </c>
      <c r="D362" t="s">
        <v>972</v>
      </c>
      <c r="E362" t="s">
        <v>54</v>
      </c>
      <c r="F362" t="s">
        <v>15</v>
      </c>
      <c r="G362" t="s">
        <v>30</v>
      </c>
      <c r="H362" s="1">
        <v>46026</v>
      </c>
      <c r="I362" s="1" t="str">
        <f>TEXT(Lead_Data[[#This Row],[Lead_Date]],"mmmm")</f>
        <v>January</v>
      </c>
      <c r="J362">
        <f ca="1">TODAY()-Lead_Data[[#This Row],[Lead_Date]]</f>
        <v>176</v>
      </c>
      <c r="K362" t="s">
        <v>17</v>
      </c>
      <c r="L362">
        <v>61497</v>
      </c>
      <c r="M362" t="str">
        <f>IF(Lead_Data[[#This Row],[Potential_Value]]&gt;100000,"High","Low")</f>
        <v>Low</v>
      </c>
      <c r="N362" t="s">
        <v>18</v>
      </c>
    </row>
    <row r="363" spans="1:14" x14ac:dyDescent="0.3">
      <c r="A363" t="s">
        <v>973</v>
      </c>
      <c r="B363" t="s">
        <v>974</v>
      </c>
      <c r="C363">
        <v>9358668672</v>
      </c>
      <c r="D363" t="s">
        <v>975</v>
      </c>
      <c r="E363" t="s">
        <v>208</v>
      </c>
      <c r="F363" t="s">
        <v>15</v>
      </c>
      <c r="G363" t="s">
        <v>30</v>
      </c>
      <c r="H363" s="1">
        <v>46091</v>
      </c>
      <c r="I363" s="1" t="str">
        <f>TEXT(Lead_Data[[#This Row],[Lead_Date]],"mmmm")</f>
        <v>March</v>
      </c>
      <c r="J363">
        <f ca="1">TODAY()-Lead_Data[[#This Row],[Lead_Date]]</f>
        <v>111</v>
      </c>
      <c r="K363" t="s">
        <v>35</v>
      </c>
      <c r="L363">
        <v>128945</v>
      </c>
      <c r="M363" t="str">
        <f>IF(Lead_Data[[#This Row],[Potential_Value]]&gt;100000,"High","Low")</f>
        <v>High</v>
      </c>
      <c r="N363" t="s">
        <v>18</v>
      </c>
    </row>
    <row r="364" spans="1:14" x14ac:dyDescent="0.3">
      <c r="A364" t="s">
        <v>976</v>
      </c>
      <c r="B364" t="s">
        <v>563</v>
      </c>
      <c r="C364">
        <v>9546049646</v>
      </c>
      <c r="D364" t="s">
        <v>977</v>
      </c>
      <c r="E364" t="s">
        <v>76</v>
      </c>
      <c r="F364" t="s">
        <v>15</v>
      </c>
      <c r="G364" t="s">
        <v>16</v>
      </c>
      <c r="H364" s="1">
        <v>46125</v>
      </c>
      <c r="I364" s="1" t="str">
        <f>TEXT(Lead_Data[[#This Row],[Lead_Date]],"mmmm")</f>
        <v>April</v>
      </c>
      <c r="J364">
        <f ca="1">TODAY()-Lead_Data[[#This Row],[Lead_Date]]</f>
        <v>77</v>
      </c>
      <c r="K364" t="s">
        <v>24</v>
      </c>
      <c r="L364">
        <v>110394</v>
      </c>
      <c r="M364" t="str">
        <f>IF(Lead_Data[[#This Row],[Potential_Value]]&gt;100000,"High","Low")</f>
        <v>High</v>
      </c>
      <c r="N364" t="s">
        <v>50</v>
      </c>
    </row>
    <row r="365" spans="1:14" x14ac:dyDescent="0.3">
      <c r="A365" t="s">
        <v>978</v>
      </c>
      <c r="B365" t="s">
        <v>316</v>
      </c>
      <c r="C365">
        <v>9529200060</v>
      </c>
      <c r="D365" t="s">
        <v>979</v>
      </c>
      <c r="E365" t="s">
        <v>208</v>
      </c>
      <c r="F365" t="s">
        <v>72</v>
      </c>
      <c r="G365" t="s">
        <v>16</v>
      </c>
      <c r="H365" s="1">
        <v>46185</v>
      </c>
      <c r="I365" s="1" t="str">
        <f>TEXT(Lead_Data[[#This Row],[Lead_Date]],"mmmm")</f>
        <v>June</v>
      </c>
      <c r="J365">
        <f ca="1">TODAY()-Lead_Data[[#This Row],[Lead_Date]]</f>
        <v>17</v>
      </c>
      <c r="K365" t="s">
        <v>42</v>
      </c>
      <c r="L365">
        <v>76758</v>
      </c>
      <c r="M365" t="str">
        <f>IF(Lead_Data[[#This Row],[Potential_Value]]&gt;100000,"High","Low")</f>
        <v>Low</v>
      </c>
      <c r="N365" t="s">
        <v>18</v>
      </c>
    </row>
    <row r="366" spans="1:14" x14ac:dyDescent="0.3">
      <c r="A366" t="s">
        <v>980</v>
      </c>
      <c r="B366" t="s">
        <v>774</v>
      </c>
      <c r="C366">
        <v>9799043651</v>
      </c>
      <c r="D366" t="s">
        <v>981</v>
      </c>
      <c r="E366" t="s">
        <v>14</v>
      </c>
      <c r="F366" t="s">
        <v>60</v>
      </c>
      <c r="G366" t="s">
        <v>16</v>
      </c>
      <c r="H366" s="1">
        <v>46052</v>
      </c>
      <c r="I366" s="1" t="str">
        <f>TEXT(Lead_Data[[#This Row],[Lead_Date]],"mmmm")</f>
        <v>January</v>
      </c>
      <c r="J366">
        <f ca="1">TODAY()-Lead_Data[[#This Row],[Lead_Date]]</f>
        <v>150</v>
      </c>
      <c r="K366" t="s">
        <v>17</v>
      </c>
      <c r="L366">
        <v>248163</v>
      </c>
      <c r="M366" t="str">
        <f>IF(Lead_Data[[#This Row],[Potential_Value]]&gt;100000,"High","Low")</f>
        <v>High</v>
      </c>
      <c r="N366" t="s">
        <v>36</v>
      </c>
    </row>
    <row r="367" spans="1:14" x14ac:dyDescent="0.3">
      <c r="A367" t="s">
        <v>982</v>
      </c>
      <c r="B367" t="s">
        <v>983</v>
      </c>
      <c r="C367">
        <v>9696734653</v>
      </c>
      <c r="D367" t="s">
        <v>984</v>
      </c>
      <c r="E367" t="s">
        <v>40</v>
      </c>
      <c r="F367" t="s">
        <v>41</v>
      </c>
      <c r="G367" t="s">
        <v>61</v>
      </c>
      <c r="H367" s="1">
        <v>46136</v>
      </c>
      <c r="I367" s="1" t="str">
        <f>TEXT(Lead_Data[[#This Row],[Lead_Date]],"mmmm")</f>
        <v>April</v>
      </c>
      <c r="J367">
        <f ca="1">TODAY()-Lead_Data[[#This Row],[Lead_Date]]</f>
        <v>66</v>
      </c>
      <c r="K367" t="s">
        <v>24</v>
      </c>
      <c r="L367">
        <v>161442</v>
      </c>
      <c r="M367" t="str">
        <f>IF(Lead_Data[[#This Row],[Potential_Value]]&gt;100000,"High","Low")</f>
        <v>High</v>
      </c>
      <c r="N367" t="s">
        <v>36</v>
      </c>
    </row>
    <row r="368" spans="1:14" x14ac:dyDescent="0.3">
      <c r="A368" t="s">
        <v>985</v>
      </c>
      <c r="B368" t="s">
        <v>986</v>
      </c>
      <c r="C368">
        <v>9578468388</v>
      </c>
      <c r="D368" t="s">
        <v>987</v>
      </c>
      <c r="E368" t="s">
        <v>28</v>
      </c>
      <c r="F368" t="s">
        <v>47</v>
      </c>
      <c r="G368" t="s">
        <v>48</v>
      </c>
      <c r="H368" s="1">
        <v>46110</v>
      </c>
      <c r="I368" s="1" t="str">
        <f>TEXT(Lead_Data[[#This Row],[Lead_Date]],"mmmm")</f>
        <v>March</v>
      </c>
      <c r="J368">
        <f ca="1">TODAY()-Lead_Data[[#This Row],[Lead_Date]]</f>
        <v>92</v>
      </c>
      <c r="K368" t="s">
        <v>31</v>
      </c>
      <c r="L368">
        <v>226266</v>
      </c>
      <c r="M368" t="str">
        <f>IF(Lead_Data[[#This Row],[Potential_Value]]&gt;100000,"High","Low")</f>
        <v>High</v>
      </c>
      <c r="N368" t="s">
        <v>55</v>
      </c>
    </row>
    <row r="369" spans="1:14" x14ac:dyDescent="0.3">
      <c r="A369" t="s">
        <v>988</v>
      </c>
      <c r="B369" t="s">
        <v>989</v>
      </c>
      <c r="C369">
        <v>9580633292</v>
      </c>
      <c r="D369" t="s">
        <v>990</v>
      </c>
      <c r="E369" t="s">
        <v>28</v>
      </c>
      <c r="F369" t="s">
        <v>41</v>
      </c>
      <c r="G369" t="s">
        <v>61</v>
      </c>
      <c r="H369" s="1">
        <v>46091</v>
      </c>
      <c r="I369" s="1" t="str">
        <f>TEXT(Lead_Data[[#This Row],[Lead_Date]],"mmmm")</f>
        <v>March</v>
      </c>
      <c r="J369">
        <f ca="1">TODAY()-Lead_Data[[#This Row],[Lead_Date]]</f>
        <v>111</v>
      </c>
      <c r="K369" t="s">
        <v>17</v>
      </c>
      <c r="L369">
        <v>174862</v>
      </c>
      <c r="M369" t="str">
        <f>IF(Lead_Data[[#This Row],[Potential_Value]]&gt;100000,"High","Low")</f>
        <v>High</v>
      </c>
      <c r="N369" t="s">
        <v>18</v>
      </c>
    </row>
    <row r="370" spans="1:14" x14ac:dyDescent="0.3">
      <c r="A370" t="s">
        <v>991</v>
      </c>
      <c r="B370" t="s">
        <v>762</v>
      </c>
      <c r="C370">
        <v>9645202337</v>
      </c>
      <c r="D370" t="s">
        <v>992</v>
      </c>
      <c r="E370" t="s">
        <v>65</v>
      </c>
      <c r="F370" t="s">
        <v>47</v>
      </c>
      <c r="G370" t="s">
        <v>16</v>
      </c>
      <c r="H370" s="1">
        <v>46144</v>
      </c>
      <c r="I370" s="1" t="str">
        <f>TEXT(Lead_Data[[#This Row],[Lead_Date]],"mmmm")</f>
        <v>May</v>
      </c>
      <c r="J370">
        <f ca="1">TODAY()-Lead_Data[[#This Row],[Lead_Date]]</f>
        <v>58</v>
      </c>
      <c r="K370" t="s">
        <v>24</v>
      </c>
      <c r="L370">
        <v>159607</v>
      </c>
      <c r="M370" t="str">
        <f>IF(Lead_Data[[#This Row],[Potential_Value]]&gt;100000,"High","Low")</f>
        <v>High</v>
      </c>
      <c r="N370" t="s">
        <v>50</v>
      </c>
    </row>
    <row r="371" spans="1:14" x14ac:dyDescent="0.3">
      <c r="A371" t="s">
        <v>993</v>
      </c>
      <c r="B371" t="s">
        <v>994</v>
      </c>
      <c r="C371">
        <v>9358868033</v>
      </c>
      <c r="D371" t="s">
        <v>995</v>
      </c>
      <c r="E371" t="s">
        <v>22</v>
      </c>
      <c r="F371" t="s">
        <v>47</v>
      </c>
      <c r="G371" t="s">
        <v>93</v>
      </c>
      <c r="H371" s="1">
        <v>46157</v>
      </c>
      <c r="I371" s="1" t="str">
        <f>TEXT(Lead_Data[[#This Row],[Lead_Date]],"mmmm")</f>
        <v>May</v>
      </c>
      <c r="J371">
        <f ca="1">TODAY()-Lead_Data[[#This Row],[Lead_Date]]</f>
        <v>45</v>
      </c>
      <c r="K371" t="s">
        <v>49</v>
      </c>
      <c r="L371">
        <v>72558</v>
      </c>
      <c r="M371" t="str">
        <f>IF(Lead_Data[[#This Row],[Potential_Value]]&gt;100000,"High","Low")</f>
        <v>Low</v>
      </c>
      <c r="N371" t="s">
        <v>50</v>
      </c>
    </row>
    <row r="372" spans="1:14" x14ac:dyDescent="0.3">
      <c r="A372" t="s">
        <v>996</v>
      </c>
      <c r="B372" t="s">
        <v>997</v>
      </c>
      <c r="C372">
        <v>9533852308</v>
      </c>
      <c r="D372" t="s">
        <v>998</v>
      </c>
      <c r="E372" t="s">
        <v>208</v>
      </c>
      <c r="F372" t="s">
        <v>15</v>
      </c>
      <c r="G372" t="s">
        <v>48</v>
      </c>
      <c r="H372" s="1">
        <v>46186</v>
      </c>
      <c r="I372" s="1" t="str">
        <f>TEXT(Lead_Data[[#This Row],[Lead_Date]],"mmmm")</f>
        <v>June</v>
      </c>
      <c r="J372">
        <f ca="1">TODAY()-Lead_Data[[#This Row],[Lead_Date]]</f>
        <v>16</v>
      </c>
      <c r="K372" t="s">
        <v>49</v>
      </c>
      <c r="L372">
        <v>228135</v>
      </c>
      <c r="M372" t="str">
        <f>IF(Lead_Data[[#This Row],[Potential_Value]]&gt;100000,"High","Low")</f>
        <v>High</v>
      </c>
      <c r="N372" t="s">
        <v>55</v>
      </c>
    </row>
    <row r="373" spans="1:14" x14ac:dyDescent="0.3">
      <c r="A373" t="s">
        <v>999</v>
      </c>
      <c r="B373" t="s">
        <v>206</v>
      </c>
      <c r="C373">
        <v>9660351363</v>
      </c>
      <c r="D373" t="s">
        <v>1000</v>
      </c>
      <c r="E373" t="s">
        <v>65</v>
      </c>
      <c r="F373" t="s">
        <v>15</v>
      </c>
      <c r="G373" t="s">
        <v>16</v>
      </c>
      <c r="H373" s="1">
        <v>46049</v>
      </c>
      <c r="I373" s="1" t="str">
        <f>TEXT(Lead_Data[[#This Row],[Lead_Date]],"mmmm")</f>
        <v>January</v>
      </c>
      <c r="J373">
        <f ca="1">TODAY()-Lead_Data[[#This Row],[Lead_Date]]</f>
        <v>153</v>
      </c>
      <c r="K373" t="s">
        <v>42</v>
      </c>
      <c r="L373">
        <v>89272</v>
      </c>
      <c r="M373" t="str">
        <f>IF(Lead_Data[[#This Row],[Potential_Value]]&gt;100000,"High","Low")</f>
        <v>Low</v>
      </c>
      <c r="N373" t="s">
        <v>55</v>
      </c>
    </row>
    <row r="374" spans="1:14" x14ac:dyDescent="0.3">
      <c r="A374" t="s">
        <v>1001</v>
      </c>
      <c r="B374" t="s">
        <v>168</v>
      </c>
      <c r="C374">
        <v>9669888137</v>
      </c>
      <c r="D374" t="s">
        <v>1002</v>
      </c>
      <c r="E374" t="s">
        <v>14</v>
      </c>
      <c r="F374" t="s">
        <v>29</v>
      </c>
      <c r="G374" t="s">
        <v>48</v>
      </c>
      <c r="H374" s="1">
        <v>46200</v>
      </c>
      <c r="I374" s="1" t="str">
        <f>TEXT(Lead_Data[[#This Row],[Lead_Date]],"mmmm")</f>
        <v>June</v>
      </c>
      <c r="J374">
        <f ca="1">TODAY()-Lead_Data[[#This Row],[Lead_Date]]</f>
        <v>2</v>
      </c>
      <c r="K374" t="s">
        <v>35</v>
      </c>
      <c r="L374">
        <v>219264</v>
      </c>
      <c r="M374" t="str">
        <f>IF(Lead_Data[[#This Row],[Potential_Value]]&gt;100000,"High","Low")</f>
        <v>High</v>
      </c>
      <c r="N374" t="s">
        <v>50</v>
      </c>
    </row>
    <row r="375" spans="1:14" x14ac:dyDescent="0.3">
      <c r="A375" t="s">
        <v>1003</v>
      </c>
      <c r="B375" t="s">
        <v>702</v>
      </c>
      <c r="C375">
        <v>9759247897</v>
      </c>
      <c r="D375" t="s">
        <v>1004</v>
      </c>
      <c r="E375" t="s">
        <v>40</v>
      </c>
      <c r="F375" t="s">
        <v>41</v>
      </c>
      <c r="G375" t="s">
        <v>93</v>
      </c>
      <c r="H375" s="1">
        <v>46148</v>
      </c>
      <c r="I375" s="1" t="str">
        <f>TEXT(Lead_Data[[#This Row],[Lead_Date]],"mmmm")</f>
        <v>May</v>
      </c>
      <c r="J375">
        <f ca="1">TODAY()-Lead_Data[[#This Row],[Lead_Date]]</f>
        <v>54</v>
      </c>
      <c r="K375" t="s">
        <v>42</v>
      </c>
      <c r="L375">
        <v>107196</v>
      </c>
      <c r="M375" t="str">
        <f>IF(Lead_Data[[#This Row],[Potential_Value]]&gt;100000,"High","Low")</f>
        <v>High</v>
      </c>
      <c r="N375" t="s">
        <v>18</v>
      </c>
    </row>
    <row r="376" spans="1:14" x14ac:dyDescent="0.3">
      <c r="A376" t="s">
        <v>1005</v>
      </c>
      <c r="B376" t="s">
        <v>498</v>
      </c>
      <c r="C376">
        <v>9612384610</v>
      </c>
      <c r="D376" t="s">
        <v>1006</v>
      </c>
      <c r="E376" t="s">
        <v>22</v>
      </c>
      <c r="F376" t="s">
        <v>23</v>
      </c>
      <c r="G376" t="s">
        <v>16</v>
      </c>
      <c r="H376" s="1">
        <v>46165</v>
      </c>
      <c r="I376" s="1" t="str">
        <f>TEXT(Lead_Data[[#This Row],[Lead_Date]],"mmmm")</f>
        <v>May</v>
      </c>
      <c r="J376">
        <f ca="1">TODAY()-Lead_Data[[#This Row],[Lead_Date]]</f>
        <v>37</v>
      </c>
      <c r="K376" t="s">
        <v>49</v>
      </c>
      <c r="L376">
        <v>25134</v>
      </c>
      <c r="M376" t="str">
        <f>IF(Lead_Data[[#This Row],[Potential_Value]]&gt;100000,"High","Low")</f>
        <v>Low</v>
      </c>
      <c r="N376" t="s">
        <v>18</v>
      </c>
    </row>
    <row r="377" spans="1:14" x14ac:dyDescent="0.3">
      <c r="A377" t="s">
        <v>1007</v>
      </c>
      <c r="B377" t="s">
        <v>495</v>
      </c>
      <c r="C377">
        <v>9346855571</v>
      </c>
      <c r="D377" t="s">
        <v>1008</v>
      </c>
      <c r="E377" t="s">
        <v>54</v>
      </c>
      <c r="F377" t="s">
        <v>72</v>
      </c>
      <c r="G377" t="s">
        <v>61</v>
      </c>
      <c r="H377" s="1">
        <v>46105</v>
      </c>
      <c r="I377" s="1" t="str">
        <f>TEXT(Lead_Data[[#This Row],[Lead_Date]],"mmmm")</f>
        <v>March</v>
      </c>
      <c r="J377">
        <f ca="1">TODAY()-Lead_Data[[#This Row],[Lead_Date]]</f>
        <v>97</v>
      </c>
      <c r="K377" t="s">
        <v>24</v>
      </c>
      <c r="L377">
        <v>33941</v>
      </c>
      <c r="M377" t="str">
        <f>IF(Lead_Data[[#This Row],[Potential_Value]]&gt;100000,"High","Low")</f>
        <v>Low</v>
      </c>
      <c r="N377" t="s">
        <v>18</v>
      </c>
    </row>
    <row r="378" spans="1:14" x14ac:dyDescent="0.3">
      <c r="A378" t="s">
        <v>1009</v>
      </c>
      <c r="B378" t="s">
        <v>954</v>
      </c>
      <c r="C378">
        <v>9727220196</v>
      </c>
      <c r="D378" t="s">
        <v>1010</v>
      </c>
      <c r="E378" t="s">
        <v>54</v>
      </c>
      <c r="F378" t="s">
        <v>47</v>
      </c>
      <c r="G378" t="s">
        <v>61</v>
      </c>
      <c r="H378" s="1">
        <v>46131</v>
      </c>
      <c r="I378" s="1" t="str">
        <f>TEXT(Lead_Data[[#This Row],[Lead_Date]],"mmmm")</f>
        <v>April</v>
      </c>
      <c r="J378">
        <f ca="1">TODAY()-Lead_Data[[#This Row],[Lead_Date]]</f>
        <v>71</v>
      </c>
      <c r="K378" t="s">
        <v>17</v>
      </c>
      <c r="L378">
        <v>198063</v>
      </c>
      <c r="M378" t="str">
        <f>IF(Lead_Data[[#This Row],[Potential_Value]]&gt;100000,"High","Low")</f>
        <v>High</v>
      </c>
      <c r="N378" t="s">
        <v>55</v>
      </c>
    </row>
    <row r="379" spans="1:14" x14ac:dyDescent="0.3">
      <c r="A379" t="s">
        <v>1011</v>
      </c>
      <c r="B379" t="s">
        <v>186</v>
      </c>
      <c r="C379">
        <v>9664750671</v>
      </c>
      <c r="D379" t="s">
        <v>1012</v>
      </c>
      <c r="E379" t="s">
        <v>28</v>
      </c>
      <c r="F379" t="s">
        <v>60</v>
      </c>
      <c r="G379" t="s">
        <v>61</v>
      </c>
      <c r="H379" s="1">
        <v>46133</v>
      </c>
      <c r="I379" s="1" t="str">
        <f>TEXT(Lead_Data[[#This Row],[Lead_Date]],"mmmm")</f>
        <v>April</v>
      </c>
      <c r="J379">
        <f ca="1">TODAY()-Lead_Data[[#This Row],[Lead_Date]]</f>
        <v>69</v>
      </c>
      <c r="K379" t="s">
        <v>49</v>
      </c>
      <c r="L379">
        <v>72554</v>
      </c>
      <c r="M379" t="str">
        <f>IF(Lead_Data[[#This Row],[Potential_Value]]&gt;100000,"High","Low")</f>
        <v>Low</v>
      </c>
      <c r="N379" t="s">
        <v>55</v>
      </c>
    </row>
    <row r="380" spans="1:14" x14ac:dyDescent="0.3">
      <c r="A380" t="s">
        <v>1013</v>
      </c>
      <c r="B380" t="s">
        <v>399</v>
      </c>
      <c r="C380">
        <v>9335717448</v>
      </c>
      <c r="D380" t="s">
        <v>1014</v>
      </c>
      <c r="E380" t="s">
        <v>65</v>
      </c>
      <c r="F380" t="s">
        <v>23</v>
      </c>
      <c r="G380" t="s">
        <v>93</v>
      </c>
      <c r="H380" s="1">
        <v>46171</v>
      </c>
      <c r="I380" s="1" t="str">
        <f>TEXT(Lead_Data[[#This Row],[Lead_Date]],"mmmm")</f>
        <v>May</v>
      </c>
      <c r="J380">
        <f ca="1">TODAY()-Lead_Data[[#This Row],[Lead_Date]]</f>
        <v>31</v>
      </c>
      <c r="K380" t="s">
        <v>49</v>
      </c>
      <c r="L380">
        <v>235490</v>
      </c>
      <c r="M380" t="str">
        <f>IF(Lead_Data[[#This Row],[Potential_Value]]&gt;100000,"High","Low")</f>
        <v>High</v>
      </c>
      <c r="N380" t="s">
        <v>36</v>
      </c>
    </row>
    <row r="381" spans="1:14" x14ac:dyDescent="0.3">
      <c r="A381" t="s">
        <v>1015</v>
      </c>
      <c r="B381" t="s">
        <v>1016</v>
      </c>
      <c r="C381">
        <v>9562782427</v>
      </c>
      <c r="D381" t="s">
        <v>1017</v>
      </c>
      <c r="E381" t="s">
        <v>76</v>
      </c>
      <c r="F381" t="s">
        <v>29</v>
      </c>
      <c r="G381" t="s">
        <v>30</v>
      </c>
      <c r="H381" s="1">
        <v>46157</v>
      </c>
      <c r="I381" s="1" t="str">
        <f>TEXT(Lead_Data[[#This Row],[Lead_Date]],"mmmm")</f>
        <v>May</v>
      </c>
      <c r="J381">
        <f ca="1">TODAY()-Lead_Data[[#This Row],[Lead_Date]]</f>
        <v>45</v>
      </c>
      <c r="K381" t="s">
        <v>17</v>
      </c>
      <c r="L381">
        <v>165392</v>
      </c>
      <c r="M381" t="str">
        <f>IF(Lead_Data[[#This Row],[Potential_Value]]&gt;100000,"High","Low")</f>
        <v>High</v>
      </c>
      <c r="N381" t="s">
        <v>18</v>
      </c>
    </row>
    <row r="382" spans="1:14" x14ac:dyDescent="0.3">
      <c r="A382" t="s">
        <v>1018</v>
      </c>
      <c r="B382" t="s">
        <v>534</v>
      </c>
      <c r="C382">
        <v>9565685957</v>
      </c>
      <c r="D382" t="s">
        <v>1019</v>
      </c>
      <c r="E382" t="s">
        <v>59</v>
      </c>
      <c r="F382" t="s">
        <v>23</v>
      </c>
      <c r="G382" t="s">
        <v>48</v>
      </c>
      <c r="H382" s="1">
        <v>46144</v>
      </c>
      <c r="I382" s="1" t="str">
        <f>TEXT(Lead_Data[[#This Row],[Lead_Date]],"mmmm")</f>
        <v>May</v>
      </c>
      <c r="J382">
        <f ca="1">TODAY()-Lead_Data[[#This Row],[Lead_Date]]</f>
        <v>58</v>
      </c>
      <c r="K382" t="s">
        <v>24</v>
      </c>
      <c r="L382">
        <v>138783</v>
      </c>
      <c r="M382" t="str">
        <f>IF(Lead_Data[[#This Row],[Potential_Value]]&gt;100000,"High","Low")</f>
        <v>High</v>
      </c>
      <c r="N382" t="s">
        <v>50</v>
      </c>
    </row>
    <row r="383" spans="1:14" x14ac:dyDescent="0.3">
      <c r="A383" t="s">
        <v>1020</v>
      </c>
      <c r="B383" t="s">
        <v>177</v>
      </c>
      <c r="C383">
        <v>9899976950</v>
      </c>
      <c r="D383" t="s">
        <v>1021</v>
      </c>
      <c r="E383" t="s">
        <v>22</v>
      </c>
      <c r="F383" t="s">
        <v>29</v>
      </c>
      <c r="G383" t="s">
        <v>16</v>
      </c>
      <c r="H383" s="1">
        <v>46082</v>
      </c>
      <c r="I383" s="1" t="str">
        <f>TEXT(Lead_Data[[#This Row],[Lead_Date]],"mmmm")</f>
        <v>March</v>
      </c>
      <c r="J383">
        <f ca="1">TODAY()-Lead_Data[[#This Row],[Lead_Date]]</f>
        <v>120</v>
      </c>
      <c r="K383" t="s">
        <v>17</v>
      </c>
      <c r="L383">
        <v>188216</v>
      </c>
      <c r="M383" t="str">
        <f>IF(Lead_Data[[#This Row],[Potential_Value]]&gt;100000,"High","Low")</f>
        <v>High</v>
      </c>
      <c r="N383" t="s">
        <v>83</v>
      </c>
    </row>
    <row r="384" spans="1:14" x14ac:dyDescent="0.3">
      <c r="A384" t="s">
        <v>1022</v>
      </c>
      <c r="B384" t="s">
        <v>833</v>
      </c>
      <c r="C384">
        <v>9571725987</v>
      </c>
      <c r="D384" t="s">
        <v>1023</v>
      </c>
      <c r="E384" t="s">
        <v>14</v>
      </c>
      <c r="F384" t="s">
        <v>72</v>
      </c>
      <c r="G384" t="s">
        <v>30</v>
      </c>
      <c r="H384" s="1">
        <v>46053</v>
      </c>
      <c r="I384" s="1" t="str">
        <f>TEXT(Lead_Data[[#This Row],[Lead_Date]],"mmmm")</f>
        <v>January</v>
      </c>
      <c r="J384">
        <f ca="1">TODAY()-Lead_Data[[#This Row],[Lead_Date]]</f>
        <v>149</v>
      </c>
      <c r="K384" t="s">
        <v>42</v>
      </c>
      <c r="L384">
        <v>224297</v>
      </c>
      <c r="M384" t="str">
        <f>IF(Lead_Data[[#This Row],[Potential_Value]]&gt;100000,"High","Low")</f>
        <v>High</v>
      </c>
      <c r="N384" t="s">
        <v>36</v>
      </c>
    </row>
    <row r="385" spans="1:14" x14ac:dyDescent="0.3">
      <c r="A385" t="s">
        <v>1024</v>
      </c>
      <c r="B385" t="s">
        <v>1025</v>
      </c>
      <c r="C385">
        <v>9785754335</v>
      </c>
      <c r="D385" t="s">
        <v>1026</v>
      </c>
      <c r="E385" t="s">
        <v>208</v>
      </c>
      <c r="F385" t="s">
        <v>60</v>
      </c>
      <c r="G385" t="s">
        <v>93</v>
      </c>
      <c r="H385" s="1">
        <v>46139</v>
      </c>
      <c r="I385" s="1" t="str">
        <f>TEXT(Lead_Data[[#This Row],[Lead_Date]],"mmmm")</f>
        <v>April</v>
      </c>
      <c r="J385">
        <f ca="1">TODAY()-Lead_Data[[#This Row],[Lead_Date]]</f>
        <v>63</v>
      </c>
      <c r="K385" t="s">
        <v>35</v>
      </c>
      <c r="L385">
        <v>97972</v>
      </c>
      <c r="M385" t="str">
        <f>IF(Lead_Data[[#This Row],[Potential_Value]]&gt;100000,"High","Low")</f>
        <v>Low</v>
      </c>
      <c r="N385" t="s">
        <v>55</v>
      </c>
    </row>
    <row r="386" spans="1:14" x14ac:dyDescent="0.3">
      <c r="A386" t="s">
        <v>1027</v>
      </c>
      <c r="B386" t="s">
        <v>174</v>
      </c>
      <c r="C386">
        <v>9588375608</v>
      </c>
      <c r="D386" t="s">
        <v>1028</v>
      </c>
      <c r="E386" t="s">
        <v>76</v>
      </c>
      <c r="F386" t="s">
        <v>60</v>
      </c>
      <c r="G386" t="s">
        <v>30</v>
      </c>
      <c r="H386" s="1">
        <v>46058</v>
      </c>
      <c r="I386" s="1" t="str">
        <f>TEXT(Lead_Data[[#This Row],[Lead_Date]],"mmmm")</f>
        <v>February</v>
      </c>
      <c r="J386">
        <f ca="1">TODAY()-Lead_Data[[#This Row],[Lead_Date]]</f>
        <v>144</v>
      </c>
      <c r="K386" t="s">
        <v>35</v>
      </c>
      <c r="L386">
        <v>48148</v>
      </c>
      <c r="M386" t="str">
        <f>IF(Lead_Data[[#This Row],[Potential_Value]]&gt;100000,"High","Low")</f>
        <v>Low</v>
      </c>
      <c r="N386" t="s">
        <v>83</v>
      </c>
    </row>
    <row r="387" spans="1:14" x14ac:dyDescent="0.3">
      <c r="A387" t="s">
        <v>1029</v>
      </c>
      <c r="B387" t="s">
        <v>789</v>
      </c>
      <c r="C387">
        <v>9834984100</v>
      </c>
      <c r="D387" t="s">
        <v>1030</v>
      </c>
      <c r="E387" t="s">
        <v>54</v>
      </c>
      <c r="F387" t="s">
        <v>47</v>
      </c>
      <c r="G387" t="s">
        <v>61</v>
      </c>
      <c r="H387" s="1">
        <v>46160</v>
      </c>
      <c r="I387" s="1" t="str">
        <f>TEXT(Lead_Data[[#This Row],[Lead_Date]],"mmmm")</f>
        <v>May</v>
      </c>
      <c r="J387">
        <f ca="1">TODAY()-Lead_Data[[#This Row],[Lead_Date]]</f>
        <v>42</v>
      </c>
      <c r="K387" t="s">
        <v>17</v>
      </c>
      <c r="L387">
        <v>92061</v>
      </c>
      <c r="M387" t="str">
        <f>IF(Lead_Data[[#This Row],[Potential_Value]]&gt;100000,"High","Low")</f>
        <v>Low</v>
      </c>
      <c r="N387" t="s">
        <v>55</v>
      </c>
    </row>
    <row r="388" spans="1:14" x14ac:dyDescent="0.3">
      <c r="A388" t="s">
        <v>1031</v>
      </c>
      <c r="B388" t="s">
        <v>1032</v>
      </c>
      <c r="C388">
        <v>9684583949</v>
      </c>
      <c r="D388" t="s">
        <v>1033</v>
      </c>
      <c r="E388" t="s">
        <v>40</v>
      </c>
      <c r="F388" t="s">
        <v>29</v>
      </c>
      <c r="G388" t="s">
        <v>30</v>
      </c>
      <c r="H388" s="1">
        <v>46124</v>
      </c>
      <c r="I388" s="1" t="str">
        <f>TEXT(Lead_Data[[#This Row],[Lead_Date]],"mmmm")</f>
        <v>April</v>
      </c>
      <c r="J388">
        <f ca="1">TODAY()-Lead_Data[[#This Row],[Lead_Date]]</f>
        <v>78</v>
      </c>
      <c r="K388" t="s">
        <v>49</v>
      </c>
      <c r="L388">
        <v>89820</v>
      </c>
      <c r="M388" t="str">
        <f>IF(Lead_Data[[#This Row],[Potential_Value]]&gt;100000,"High","Low")</f>
        <v>Low</v>
      </c>
      <c r="N388" t="s">
        <v>50</v>
      </c>
    </row>
    <row r="389" spans="1:14" x14ac:dyDescent="0.3">
      <c r="A389" t="s">
        <v>1034</v>
      </c>
      <c r="B389" t="s">
        <v>316</v>
      </c>
      <c r="C389">
        <v>9344505329</v>
      </c>
      <c r="D389" t="s">
        <v>1035</v>
      </c>
      <c r="E389" t="s">
        <v>22</v>
      </c>
      <c r="F389" t="s">
        <v>72</v>
      </c>
      <c r="G389" t="s">
        <v>30</v>
      </c>
      <c r="H389" s="1">
        <v>46101</v>
      </c>
      <c r="I389" s="1" t="str">
        <f>TEXT(Lead_Data[[#This Row],[Lead_Date]],"mmmm")</f>
        <v>March</v>
      </c>
      <c r="J389">
        <f ca="1">TODAY()-Lead_Data[[#This Row],[Lead_Date]]</f>
        <v>101</v>
      </c>
      <c r="K389" t="s">
        <v>31</v>
      </c>
      <c r="L389">
        <v>150731</v>
      </c>
      <c r="M389" t="str">
        <f>IF(Lead_Data[[#This Row],[Potential_Value]]&gt;100000,"High","Low")</f>
        <v>High</v>
      </c>
      <c r="N389" t="s">
        <v>83</v>
      </c>
    </row>
    <row r="390" spans="1:14" x14ac:dyDescent="0.3">
      <c r="A390" t="s">
        <v>1036</v>
      </c>
      <c r="B390" t="s">
        <v>134</v>
      </c>
      <c r="C390">
        <v>9328962706</v>
      </c>
      <c r="D390" t="s">
        <v>1037</v>
      </c>
      <c r="E390" t="s">
        <v>65</v>
      </c>
      <c r="F390" t="s">
        <v>72</v>
      </c>
      <c r="G390" t="s">
        <v>48</v>
      </c>
      <c r="H390" s="1">
        <v>46116</v>
      </c>
      <c r="I390" s="1" t="str">
        <f>TEXT(Lead_Data[[#This Row],[Lead_Date]],"mmmm")</f>
        <v>April</v>
      </c>
      <c r="J390">
        <f ca="1">TODAY()-Lead_Data[[#This Row],[Lead_Date]]</f>
        <v>86</v>
      </c>
      <c r="K390" t="s">
        <v>35</v>
      </c>
      <c r="L390">
        <v>155785</v>
      </c>
      <c r="M390" t="str">
        <f>IF(Lead_Data[[#This Row],[Potential_Value]]&gt;100000,"High","Low")</f>
        <v>High</v>
      </c>
      <c r="N390" t="s">
        <v>36</v>
      </c>
    </row>
    <row r="391" spans="1:14" x14ac:dyDescent="0.3">
      <c r="A391" t="s">
        <v>1038</v>
      </c>
      <c r="B391" t="s">
        <v>1039</v>
      </c>
      <c r="C391">
        <v>9864885469</v>
      </c>
      <c r="D391" t="s">
        <v>1040</v>
      </c>
      <c r="E391" t="s">
        <v>65</v>
      </c>
      <c r="F391" t="s">
        <v>23</v>
      </c>
      <c r="G391" t="s">
        <v>61</v>
      </c>
      <c r="H391" s="1">
        <v>46167</v>
      </c>
      <c r="I391" s="1" t="str">
        <f>TEXT(Lead_Data[[#This Row],[Lead_Date]],"mmmm")</f>
        <v>May</v>
      </c>
      <c r="J391">
        <f ca="1">TODAY()-Lead_Data[[#This Row],[Lead_Date]]</f>
        <v>35</v>
      </c>
      <c r="K391" t="s">
        <v>31</v>
      </c>
      <c r="L391">
        <v>218689</v>
      </c>
      <c r="M391" t="str">
        <f>IF(Lead_Data[[#This Row],[Potential_Value]]&gt;100000,"High","Low")</f>
        <v>High</v>
      </c>
      <c r="N391" t="s">
        <v>55</v>
      </c>
    </row>
    <row r="392" spans="1:14" x14ac:dyDescent="0.3">
      <c r="A392" t="s">
        <v>1041</v>
      </c>
      <c r="B392" t="s">
        <v>1042</v>
      </c>
      <c r="C392">
        <v>9789469261</v>
      </c>
      <c r="D392" t="s">
        <v>1043</v>
      </c>
      <c r="E392" t="s">
        <v>46</v>
      </c>
      <c r="F392" t="s">
        <v>29</v>
      </c>
      <c r="G392" t="s">
        <v>48</v>
      </c>
      <c r="H392" s="1">
        <v>46179</v>
      </c>
      <c r="I392" s="1" t="str">
        <f>TEXT(Lead_Data[[#This Row],[Lead_Date]],"mmmm")</f>
        <v>June</v>
      </c>
      <c r="J392">
        <f ca="1">TODAY()-Lead_Data[[#This Row],[Lead_Date]]</f>
        <v>23</v>
      </c>
      <c r="K392" t="s">
        <v>31</v>
      </c>
      <c r="L392">
        <v>240178</v>
      </c>
      <c r="M392" t="str">
        <f>IF(Lead_Data[[#This Row],[Potential_Value]]&gt;100000,"High","Low")</f>
        <v>High</v>
      </c>
      <c r="N392" t="s">
        <v>50</v>
      </c>
    </row>
    <row r="393" spans="1:14" x14ac:dyDescent="0.3">
      <c r="A393" t="s">
        <v>1044</v>
      </c>
      <c r="B393" t="s">
        <v>666</v>
      </c>
      <c r="C393">
        <v>9816571711</v>
      </c>
      <c r="D393" t="s">
        <v>1045</v>
      </c>
      <c r="E393" t="s">
        <v>14</v>
      </c>
      <c r="F393" t="s">
        <v>60</v>
      </c>
      <c r="G393" t="s">
        <v>16</v>
      </c>
      <c r="H393" s="1">
        <v>46058</v>
      </c>
      <c r="I393" s="1" t="str">
        <f>TEXT(Lead_Data[[#This Row],[Lead_Date]],"mmmm")</f>
        <v>February</v>
      </c>
      <c r="J393">
        <f ca="1">TODAY()-Lead_Data[[#This Row],[Lead_Date]]</f>
        <v>144</v>
      </c>
      <c r="K393" t="s">
        <v>24</v>
      </c>
      <c r="L393">
        <v>57229</v>
      </c>
      <c r="M393" t="str">
        <f>IF(Lead_Data[[#This Row],[Potential_Value]]&gt;100000,"High","Low")</f>
        <v>Low</v>
      </c>
      <c r="N393" t="s">
        <v>36</v>
      </c>
    </row>
    <row r="394" spans="1:14" x14ac:dyDescent="0.3">
      <c r="A394" t="s">
        <v>1046</v>
      </c>
      <c r="B394" t="s">
        <v>1047</v>
      </c>
      <c r="C394">
        <v>9776869551</v>
      </c>
      <c r="D394" t="s">
        <v>1048</v>
      </c>
      <c r="E394" t="s">
        <v>54</v>
      </c>
      <c r="F394" t="s">
        <v>60</v>
      </c>
      <c r="G394" t="s">
        <v>93</v>
      </c>
      <c r="H394" s="1">
        <v>46079</v>
      </c>
      <c r="I394" s="1" t="str">
        <f>TEXT(Lead_Data[[#This Row],[Lead_Date]],"mmmm")</f>
        <v>February</v>
      </c>
      <c r="J394">
        <f ca="1">TODAY()-Lead_Data[[#This Row],[Lead_Date]]</f>
        <v>123</v>
      </c>
      <c r="K394" t="s">
        <v>42</v>
      </c>
      <c r="L394">
        <v>229756</v>
      </c>
      <c r="M394" t="str">
        <f>IF(Lead_Data[[#This Row],[Potential_Value]]&gt;100000,"High","Low")</f>
        <v>High</v>
      </c>
      <c r="N394" t="s">
        <v>50</v>
      </c>
    </row>
    <row r="395" spans="1:14" x14ac:dyDescent="0.3">
      <c r="A395" t="s">
        <v>1049</v>
      </c>
      <c r="B395" t="s">
        <v>1050</v>
      </c>
      <c r="C395">
        <v>9779287479</v>
      </c>
      <c r="D395" t="s">
        <v>1051</v>
      </c>
      <c r="E395" t="s">
        <v>46</v>
      </c>
      <c r="F395" t="s">
        <v>23</v>
      </c>
      <c r="G395" t="s">
        <v>93</v>
      </c>
      <c r="H395" s="1">
        <v>46048</v>
      </c>
      <c r="I395" s="1" t="str">
        <f>TEXT(Lead_Data[[#This Row],[Lead_Date]],"mmmm")</f>
        <v>January</v>
      </c>
      <c r="J395">
        <f ca="1">TODAY()-Lead_Data[[#This Row],[Lead_Date]]</f>
        <v>154</v>
      </c>
      <c r="K395" t="s">
        <v>17</v>
      </c>
      <c r="L395">
        <v>23188</v>
      </c>
      <c r="M395" t="str">
        <f>IF(Lead_Data[[#This Row],[Potential_Value]]&gt;100000,"High","Low")</f>
        <v>Low</v>
      </c>
      <c r="N395" t="s">
        <v>55</v>
      </c>
    </row>
    <row r="396" spans="1:14" x14ac:dyDescent="0.3">
      <c r="A396" t="s">
        <v>1052</v>
      </c>
      <c r="B396" t="s">
        <v>492</v>
      </c>
      <c r="C396">
        <v>9669378784</v>
      </c>
      <c r="D396" t="s">
        <v>1053</v>
      </c>
      <c r="E396" t="s">
        <v>76</v>
      </c>
      <c r="F396" t="s">
        <v>72</v>
      </c>
      <c r="G396" t="s">
        <v>30</v>
      </c>
      <c r="H396" s="1">
        <v>46198</v>
      </c>
      <c r="I396" s="1" t="str">
        <f>TEXT(Lead_Data[[#This Row],[Lead_Date]],"mmmm")</f>
        <v>June</v>
      </c>
      <c r="J396">
        <f ca="1">TODAY()-Lead_Data[[#This Row],[Lead_Date]]</f>
        <v>4</v>
      </c>
      <c r="K396" t="s">
        <v>35</v>
      </c>
      <c r="L396">
        <v>44968</v>
      </c>
      <c r="M396" t="str">
        <f>IF(Lead_Data[[#This Row],[Potential_Value]]&gt;100000,"High","Low")</f>
        <v>Low</v>
      </c>
      <c r="N396" t="s">
        <v>36</v>
      </c>
    </row>
    <row r="397" spans="1:14" x14ac:dyDescent="0.3">
      <c r="A397" t="s">
        <v>1054</v>
      </c>
      <c r="B397" t="s">
        <v>581</v>
      </c>
      <c r="C397">
        <v>9641228113</v>
      </c>
      <c r="D397" t="s">
        <v>1055</v>
      </c>
      <c r="E397" t="s">
        <v>65</v>
      </c>
      <c r="F397" t="s">
        <v>41</v>
      </c>
      <c r="G397" t="s">
        <v>16</v>
      </c>
      <c r="H397" s="1">
        <v>46172</v>
      </c>
      <c r="I397" s="1" t="str">
        <f>TEXT(Lead_Data[[#This Row],[Lead_Date]],"mmmm")</f>
        <v>May</v>
      </c>
      <c r="J397">
        <f ca="1">TODAY()-Lead_Data[[#This Row],[Lead_Date]]</f>
        <v>30</v>
      </c>
      <c r="K397" t="s">
        <v>35</v>
      </c>
      <c r="L397">
        <v>50367</v>
      </c>
      <c r="M397" t="str">
        <f>IF(Lead_Data[[#This Row],[Potential_Value]]&gt;100000,"High","Low")</f>
        <v>Low</v>
      </c>
      <c r="N397" t="s">
        <v>83</v>
      </c>
    </row>
    <row r="398" spans="1:14" x14ac:dyDescent="0.3">
      <c r="A398" t="s">
        <v>1056</v>
      </c>
      <c r="B398" t="s">
        <v>280</v>
      </c>
      <c r="C398">
        <v>9730387379</v>
      </c>
      <c r="D398" t="s">
        <v>1057</v>
      </c>
      <c r="E398" t="s">
        <v>22</v>
      </c>
      <c r="F398" t="s">
        <v>29</v>
      </c>
      <c r="G398" t="s">
        <v>30</v>
      </c>
      <c r="H398" s="1">
        <v>46193</v>
      </c>
      <c r="I398" s="1" t="str">
        <f>TEXT(Lead_Data[[#This Row],[Lead_Date]],"mmmm")</f>
        <v>June</v>
      </c>
      <c r="J398">
        <f ca="1">TODAY()-Lead_Data[[#This Row],[Lead_Date]]</f>
        <v>9</v>
      </c>
      <c r="K398" t="s">
        <v>49</v>
      </c>
      <c r="L398">
        <v>109608</v>
      </c>
      <c r="M398" t="str">
        <f>IF(Lead_Data[[#This Row],[Potential_Value]]&gt;100000,"High","Low")</f>
        <v>High</v>
      </c>
      <c r="N398" t="s">
        <v>50</v>
      </c>
    </row>
    <row r="399" spans="1:14" x14ac:dyDescent="0.3">
      <c r="A399" t="s">
        <v>1058</v>
      </c>
      <c r="B399" t="s">
        <v>1042</v>
      </c>
      <c r="C399">
        <v>9322561484</v>
      </c>
      <c r="D399" t="s">
        <v>1059</v>
      </c>
      <c r="E399" t="s">
        <v>46</v>
      </c>
      <c r="F399" t="s">
        <v>72</v>
      </c>
      <c r="G399" t="s">
        <v>93</v>
      </c>
      <c r="H399" s="1">
        <v>46073</v>
      </c>
      <c r="I399" s="1" t="str">
        <f>TEXT(Lead_Data[[#This Row],[Lead_Date]],"mmmm")</f>
        <v>February</v>
      </c>
      <c r="J399">
        <f ca="1">TODAY()-Lead_Data[[#This Row],[Lead_Date]]</f>
        <v>129</v>
      </c>
      <c r="K399" t="s">
        <v>24</v>
      </c>
      <c r="L399">
        <v>97341</v>
      </c>
      <c r="M399" t="str">
        <f>IF(Lead_Data[[#This Row],[Potential_Value]]&gt;100000,"High","Low")</f>
        <v>Low</v>
      </c>
      <c r="N399" t="s">
        <v>55</v>
      </c>
    </row>
    <row r="400" spans="1:14" x14ac:dyDescent="0.3">
      <c r="A400" t="s">
        <v>1060</v>
      </c>
      <c r="B400" t="s">
        <v>699</v>
      </c>
      <c r="C400">
        <v>9626391639</v>
      </c>
      <c r="D400" t="s">
        <v>1061</v>
      </c>
      <c r="E400" t="s">
        <v>22</v>
      </c>
      <c r="F400" t="s">
        <v>41</v>
      </c>
      <c r="G400" t="s">
        <v>16</v>
      </c>
      <c r="H400" s="1">
        <v>46191</v>
      </c>
      <c r="I400" s="1" t="str">
        <f>TEXT(Lead_Data[[#This Row],[Lead_Date]],"mmmm")</f>
        <v>June</v>
      </c>
      <c r="J400">
        <f ca="1">TODAY()-Lead_Data[[#This Row],[Lead_Date]]</f>
        <v>11</v>
      </c>
      <c r="K400" t="s">
        <v>42</v>
      </c>
      <c r="L400">
        <v>29119</v>
      </c>
      <c r="M400" t="str">
        <f>IF(Lead_Data[[#This Row],[Potential_Value]]&gt;100000,"High","Low")</f>
        <v>Low</v>
      </c>
      <c r="N400" t="s">
        <v>83</v>
      </c>
    </row>
    <row r="401" spans="1:14" x14ac:dyDescent="0.3">
      <c r="A401" t="s">
        <v>1062</v>
      </c>
      <c r="B401" t="s">
        <v>363</v>
      </c>
      <c r="C401">
        <v>9522481105</v>
      </c>
      <c r="D401" t="s">
        <v>1063</v>
      </c>
      <c r="E401" t="s">
        <v>46</v>
      </c>
      <c r="F401" t="s">
        <v>15</v>
      </c>
      <c r="G401" t="s">
        <v>61</v>
      </c>
      <c r="H401" s="1">
        <v>46074</v>
      </c>
      <c r="I401" s="1" t="str">
        <f>TEXT(Lead_Data[[#This Row],[Lead_Date]],"mmmm")</f>
        <v>February</v>
      </c>
      <c r="J401">
        <f ca="1">TODAY()-Lead_Data[[#This Row],[Lead_Date]]</f>
        <v>128</v>
      </c>
      <c r="K401" t="s">
        <v>42</v>
      </c>
      <c r="L401">
        <v>163068</v>
      </c>
      <c r="M401" t="str">
        <f>IF(Lead_Data[[#This Row],[Potential_Value]]&gt;100000,"High","Low")</f>
        <v>High</v>
      </c>
      <c r="N401" t="s">
        <v>18</v>
      </c>
    </row>
    <row r="402" spans="1:14" x14ac:dyDescent="0.3">
      <c r="A402" t="s">
        <v>1064</v>
      </c>
      <c r="B402" t="s">
        <v>289</v>
      </c>
      <c r="C402">
        <v>9546396368</v>
      </c>
      <c r="D402" t="s">
        <v>1065</v>
      </c>
      <c r="E402" t="s">
        <v>28</v>
      </c>
      <c r="F402" t="s">
        <v>15</v>
      </c>
      <c r="G402" t="s">
        <v>30</v>
      </c>
      <c r="H402" s="1">
        <v>46081</v>
      </c>
      <c r="I402" s="1" t="str">
        <f>TEXT(Lead_Data[[#This Row],[Lead_Date]],"mmmm")</f>
        <v>February</v>
      </c>
      <c r="J402">
        <f ca="1">TODAY()-Lead_Data[[#This Row],[Lead_Date]]</f>
        <v>121</v>
      </c>
      <c r="K402" t="s">
        <v>42</v>
      </c>
      <c r="L402">
        <v>166970</v>
      </c>
      <c r="M402" t="str">
        <f>IF(Lead_Data[[#This Row],[Potential_Value]]&gt;100000,"High","Low")</f>
        <v>High</v>
      </c>
      <c r="N402" t="s">
        <v>36</v>
      </c>
    </row>
    <row r="403" spans="1:14" x14ac:dyDescent="0.3">
      <c r="A403" t="s">
        <v>1066</v>
      </c>
      <c r="B403" t="s">
        <v>159</v>
      </c>
      <c r="C403">
        <v>9798118217</v>
      </c>
      <c r="D403" t="s">
        <v>1067</v>
      </c>
      <c r="E403" t="s">
        <v>208</v>
      </c>
      <c r="F403" t="s">
        <v>72</v>
      </c>
      <c r="G403" t="s">
        <v>61</v>
      </c>
      <c r="H403" s="1">
        <v>46099</v>
      </c>
      <c r="I403" s="1" t="str">
        <f>TEXT(Lead_Data[[#This Row],[Lead_Date]],"mmmm")</f>
        <v>March</v>
      </c>
      <c r="J403">
        <f ca="1">TODAY()-Lead_Data[[#This Row],[Lead_Date]]</f>
        <v>103</v>
      </c>
      <c r="K403" t="s">
        <v>49</v>
      </c>
      <c r="L403">
        <v>127866</v>
      </c>
      <c r="M403" t="str">
        <f>IF(Lead_Data[[#This Row],[Potential_Value]]&gt;100000,"High","Low")</f>
        <v>High</v>
      </c>
      <c r="N403" t="s">
        <v>55</v>
      </c>
    </row>
    <row r="404" spans="1:14" x14ac:dyDescent="0.3">
      <c r="A404" t="s">
        <v>1068</v>
      </c>
      <c r="B404" t="s">
        <v>1069</v>
      </c>
      <c r="C404">
        <v>9634005826</v>
      </c>
      <c r="D404" t="s">
        <v>1070</v>
      </c>
      <c r="E404" t="s">
        <v>54</v>
      </c>
      <c r="F404" t="s">
        <v>60</v>
      </c>
      <c r="G404" t="s">
        <v>30</v>
      </c>
      <c r="H404" s="1">
        <v>46051</v>
      </c>
      <c r="I404" s="1" t="str">
        <f>TEXT(Lead_Data[[#This Row],[Lead_Date]],"mmmm")</f>
        <v>January</v>
      </c>
      <c r="J404">
        <f ca="1">TODAY()-Lead_Data[[#This Row],[Lead_Date]]</f>
        <v>151</v>
      </c>
      <c r="K404" t="s">
        <v>35</v>
      </c>
      <c r="L404">
        <v>156584</v>
      </c>
      <c r="M404" t="str">
        <f>IF(Lead_Data[[#This Row],[Potential_Value]]&gt;100000,"High","Low")</f>
        <v>High</v>
      </c>
      <c r="N404" t="s">
        <v>55</v>
      </c>
    </row>
    <row r="405" spans="1:14" x14ac:dyDescent="0.3">
      <c r="A405" t="s">
        <v>1071</v>
      </c>
      <c r="B405" t="s">
        <v>619</v>
      </c>
      <c r="C405">
        <v>9831658815</v>
      </c>
      <c r="D405" t="s">
        <v>1072</v>
      </c>
      <c r="E405" t="s">
        <v>76</v>
      </c>
      <c r="F405" t="s">
        <v>29</v>
      </c>
      <c r="G405" t="s">
        <v>30</v>
      </c>
      <c r="H405" s="1">
        <v>46175</v>
      </c>
      <c r="I405" s="1" t="str">
        <f>TEXT(Lead_Data[[#This Row],[Lead_Date]],"mmmm")</f>
        <v>June</v>
      </c>
      <c r="J405">
        <f ca="1">TODAY()-Lead_Data[[#This Row],[Lead_Date]]</f>
        <v>27</v>
      </c>
      <c r="K405" t="s">
        <v>17</v>
      </c>
      <c r="L405">
        <v>20383</v>
      </c>
      <c r="M405" t="str">
        <f>IF(Lead_Data[[#This Row],[Potential_Value]]&gt;100000,"High","Low")</f>
        <v>Low</v>
      </c>
      <c r="N405" t="s">
        <v>18</v>
      </c>
    </row>
    <row r="406" spans="1:14" x14ac:dyDescent="0.3">
      <c r="A406" t="s">
        <v>1073</v>
      </c>
      <c r="B406" t="s">
        <v>722</v>
      </c>
      <c r="C406">
        <v>9765744112</v>
      </c>
      <c r="D406" t="s">
        <v>1074</v>
      </c>
      <c r="E406" t="s">
        <v>65</v>
      </c>
      <c r="F406" t="s">
        <v>23</v>
      </c>
      <c r="G406" t="s">
        <v>61</v>
      </c>
      <c r="H406" s="1">
        <v>46170</v>
      </c>
      <c r="I406" s="1" t="str">
        <f>TEXT(Lead_Data[[#This Row],[Lead_Date]],"mmmm")</f>
        <v>May</v>
      </c>
      <c r="J406">
        <f ca="1">TODAY()-Lead_Data[[#This Row],[Lead_Date]]</f>
        <v>32</v>
      </c>
      <c r="K406" t="s">
        <v>35</v>
      </c>
      <c r="L406">
        <v>183839</v>
      </c>
      <c r="M406" t="str">
        <f>IF(Lead_Data[[#This Row],[Potential_Value]]&gt;100000,"High","Low")</f>
        <v>High</v>
      </c>
      <c r="N406" t="s">
        <v>50</v>
      </c>
    </row>
    <row r="407" spans="1:14" x14ac:dyDescent="0.3">
      <c r="A407" t="s">
        <v>1075</v>
      </c>
      <c r="B407" t="s">
        <v>264</v>
      </c>
      <c r="C407">
        <v>9854510742</v>
      </c>
      <c r="D407" t="s">
        <v>1076</v>
      </c>
      <c r="E407" t="s">
        <v>46</v>
      </c>
      <c r="F407" t="s">
        <v>15</v>
      </c>
      <c r="G407" t="s">
        <v>93</v>
      </c>
      <c r="H407" s="1">
        <v>46024</v>
      </c>
      <c r="I407" s="1" t="str">
        <f>TEXT(Lead_Data[[#This Row],[Lead_Date]],"mmmm")</f>
        <v>January</v>
      </c>
      <c r="J407">
        <f ca="1">TODAY()-Lead_Data[[#This Row],[Lead_Date]]</f>
        <v>178</v>
      </c>
      <c r="K407" t="s">
        <v>49</v>
      </c>
      <c r="L407">
        <v>34644</v>
      </c>
      <c r="M407" t="str">
        <f>IF(Lead_Data[[#This Row],[Potential_Value]]&gt;100000,"High","Low")</f>
        <v>Low</v>
      </c>
      <c r="N407" t="s">
        <v>36</v>
      </c>
    </row>
    <row r="408" spans="1:14" x14ac:dyDescent="0.3">
      <c r="A408" t="s">
        <v>1077</v>
      </c>
      <c r="B408" t="s">
        <v>171</v>
      </c>
      <c r="C408">
        <v>9546301750</v>
      </c>
      <c r="D408" t="s">
        <v>1078</v>
      </c>
      <c r="E408" t="s">
        <v>40</v>
      </c>
      <c r="F408" t="s">
        <v>23</v>
      </c>
      <c r="G408" t="s">
        <v>61</v>
      </c>
      <c r="H408" s="1">
        <v>46160</v>
      </c>
      <c r="I408" s="1" t="str">
        <f>TEXT(Lead_Data[[#This Row],[Lead_Date]],"mmmm")</f>
        <v>May</v>
      </c>
      <c r="J408">
        <f ca="1">TODAY()-Lead_Data[[#This Row],[Lead_Date]]</f>
        <v>42</v>
      </c>
      <c r="K408" t="s">
        <v>24</v>
      </c>
      <c r="L408">
        <v>74479</v>
      </c>
      <c r="M408" t="str">
        <f>IF(Lead_Data[[#This Row],[Potential_Value]]&gt;100000,"High","Low")</f>
        <v>Low</v>
      </c>
      <c r="N408" t="s">
        <v>50</v>
      </c>
    </row>
    <row r="409" spans="1:14" x14ac:dyDescent="0.3">
      <c r="A409" t="s">
        <v>1079</v>
      </c>
      <c r="B409" t="s">
        <v>1080</v>
      </c>
      <c r="C409">
        <v>9344390215</v>
      </c>
      <c r="D409" t="s">
        <v>1081</v>
      </c>
      <c r="E409" t="s">
        <v>22</v>
      </c>
      <c r="F409" t="s">
        <v>15</v>
      </c>
      <c r="G409" t="s">
        <v>48</v>
      </c>
      <c r="H409" s="1">
        <v>46116</v>
      </c>
      <c r="I409" s="1" t="str">
        <f>TEXT(Lead_Data[[#This Row],[Lead_Date]],"mmmm")</f>
        <v>April</v>
      </c>
      <c r="J409">
        <f ca="1">TODAY()-Lead_Data[[#This Row],[Lead_Date]]</f>
        <v>86</v>
      </c>
      <c r="K409" t="s">
        <v>42</v>
      </c>
      <c r="L409">
        <v>63335</v>
      </c>
      <c r="M409" t="str">
        <f>IF(Lead_Data[[#This Row],[Potential_Value]]&gt;100000,"High","Low")</f>
        <v>Low</v>
      </c>
      <c r="N409" t="s">
        <v>50</v>
      </c>
    </row>
    <row r="410" spans="1:14" x14ac:dyDescent="0.3">
      <c r="A410" t="s">
        <v>1082</v>
      </c>
      <c r="B410" t="s">
        <v>412</v>
      </c>
      <c r="C410">
        <v>9377349962</v>
      </c>
      <c r="D410" t="s">
        <v>1083</v>
      </c>
      <c r="E410" t="s">
        <v>14</v>
      </c>
      <c r="F410" t="s">
        <v>23</v>
      </c>
      <c r="G410" t="s">
        <v>30</v>
      </c>
      <c r="H410" s="1">
        <v>46084</v>
      </c>
      <c r="I410" s="1" t="str">
        <f>TEXT(Lead_Data[[#This Row],[Lead_Date]],"mmmm")</f>
        <v>March</v>
      </c>
      <c r="J410">
        <f ca="1">TODAY()-Lead_Data[[#This Row],[Lead_Date]]</f>
        <v>118</v>
      </c>
      <c r="K410" t="s">
        <v>17</v>
      </c>
      <c r="L410">
        <v>138031</v>
      </c>
      <c r="M410" t="str">
        <f>IF(Lead_Data[[#This Row],[Potential_Value]]&gt;100000,"High","Low")</f>
        <v>High</v>
      </c>
      <c r="N410" t="s">
        <v>18</v>
      </c>
    </row>
    <row r="411" spans="1:14" x14ac:dyDescent="0.3">
      <c r="A411" t="s">
        <v>1084</v>
      </c>
      <c r="B411" t="s">
        <v>1085</v>
      </c>
      <c r="C411">
        <v>9721682366</v>
      </c>
      <c r="D411" t="s">
        <v>1086</v>
      </c>
      <c r="E411" t="s">
        <v>59</v>
      </c>
      <c r="F411" t="s">
        <v>60</v>
      </c>
      <c r="G411" t="s">
        <v>61</v>
      </c>
      <c r="H411" s="1">
        <v>46066</v>
      </c>
      <c r="I411" s="1" t="str">
        <f>TEXT(Lead_Data[[#This Row],[Lead_Date]],"mmmm")</f>
        <v>February</v>
      </c>
      <c r="J411">
        <f ca="1">TODAY()-Lead_Data[[#This Row],[Lead_Date]]</f>
        <v>136</v>
      </c>
      <c r="K411" t="s">
        <v>17</v>
      </c>
      <c r="L411">
        <v>121149</v>
      </c>
      <c r="M411" t="str">
        <f>IF(Lead_Data[[#This Row],[Potential_Value]]&gt;100000,"High","Low")</f>
        <v>High</v>
      </c>
      <c r="N411" t="s">
        <v>55</v>
      </c>
    </row>
    <row r="412" spans="1:14" x14ac:dyDescent="0.3">
      <c r="A412" t="s">
        <v>1087</v>
      </c>
      <c r="B412" t="s">
        <v>1088</v>
      </c>
      <c r="C412">
        <v>9686478851</v>
      </c>
      <c r="D412" t="s">
        <v>1089</v>
      </c>
      <c r="E412" t="s">
        <v>14</v>
      </c>
      <c r="F412" t="s">
        <v>41</v>
      </c>
      <c r="G412" t="s">
        <v>16</v>
      </c>
      <c r="H412" s="1">
        <v>46053</v>
      </c>
      <c r="I412" s="1" t="str">
        <f>TEXT(Lead_Data[[#This Row],[Lead_Date]],"mmmm")</f>
        <v>January</v>
      </c>
      <c r="J412">
        <f ca="1">TODAY()-Lead_Data[[#This Row],[Lead_Date]]</f>
        <v>149</v>
      </c>
      <c r="K412" t="s">
        <v>31</v>
      </c>
      <c r="L412">
        <v>71320</v>
      </c>
      <c r="M412" t="str">
        <f>IF(Lead_Data[[#This Row],[Potential_Value]]&gt;100000,"High","Low")</f>
        <v>Low</v>
      </c>
      <c r="N412" t="s">
        <v>50</v>
      </c>
    </row>
    <row r="413" spans="1:14" x14ac:dyDescent="0.3">
      <c r="A413" t="s">
        <v>1090</v>
      </c>
      <c r="B413" t="s">
        <v>1091</v>
      </c>
      <c r="C413">
        <v>9318340090</v>
      </c>
      <c r="D413" t="s">
        <v>1092</v>
      </c>
      <c r="E413" t="s">
        <v>14</v>
      </c>
      <c r="F413" t="s">
        <v>47</v>
      </c>
      <c r="G413" t="s">
        <v>61</v>
      </c>
      <c r="H413" s="1">
        <v>46085</v>
      </c>
      <c r="I413" s="1" t="str">
        <f>TEXT(Lead_Data[[#This Row],[Lead_Date]],"mmmm")</f>
        <v>March</v>
      </c>
      <c r="J413">
        <f ca="1">TODAY()-Lead_Data[[#This Row],[Lead_Date]]</f>
        <v>117</v>
      </c>
      <c r="K413" t="s">
        <v>17</v>
      </c>
      <c r="L413">
        <v>20806</v>
      </c>
      <c r="M413" t="str">
        <f>IF(Lead_Data[[#This Row],[Potential_Value]]&gt;100000,"High","Low")</f>
        <v>Low</v>
      </c>
      <c r="N413" t="s">
        <v>50</v>
      </c>
    </row>
    <row r="414" spans="1:14" x14ac:dyDescent="0.3">
      <c r="A414" t="s">
        <v>1093</v>
      </c>
      <c r="B414" t="s">
        <v>1091</v>
      </c>
      <c r="C414">
        <v>9750749358</v>
      </c>
      <c r="D414" t="s">
        <v>1094</v>
      </c>
      <c r="E414" t="s">
        <v>14</v>
      </c>
      <c r="F414" t="s">
        <v>60</v>
      </c>
      <c r="G414" t="s">
        <v>48</v>
      </c>
      <c r="H414" s="1">
        <v>46110</v>
      </c>
      <c r="I414" s="1" t="str">
        <f>TEXT(Lead_Data[[#This Row],[Lead_Date]],"mmmm")</f>
        <v>March</v>
      </c>
      <c r="J414">
        <f ca="1">TODAY()-Lead_Data[[#This Row],[Lead_Date]]</f>
        <v>92</v>
      </c>
      <c r="K414" t="s">
        <v>42</v>
      </c>
      <c r="L414">
        <v>57920</v>
      </c>
      <c r="M414" t="str">
        <f>IF(Lead_Data[[#This Row],[Potential_Value]]&gt;100000,"High","Low")</f>
        <v>Low</v>
      </c>
      <c r="N414" t="s">
        <v>36</v>
      </c>
    </row>
    <row r="415" spans="1:14" x14ac:dyDescent="0.3">
      <c r="A415" t="s">
        <v>1095</v>
      </c>
      <c r="B415" t="s">
        <v>393</v>
      </c>
      <c r="C415">
        <v>9514327075</v>
      </c>
      <c r="D415" t="s">
        <v>1096</v>
      </c>
      <c r="E415" t="s">
        <v>22</v>
      </c>
      <c r="F415" t="s">
        <v>72</v>
      </c>
      <c r="G415" t="s">
        <v>16</v>
      </c>
      <c r="H415" s="1">
        <v>46045</v>
      </c>
      <c r="I415" s="1" t="str">
        <f>TEXT(Lead_Data[[#This Row],[Lead_Date]],"mmmm")</f>
        <v>January</v>
      </c>
      <c r="J415">
        <f ca="1">TODAY()-Lead_Data[[#This Row],[Lead_Date]]</f>
        <v>157</v>
      </c>
      <c r="K415" t="s">
        <v>35</v>
      </c>
      <c r="L415">
        <v>53813</v>
      </c>
      <c r="M415" t="str">
        <f>IF(Lead_Data[[#This Row],[Potential_Value]]&gt;100000,"High","Low")</f>
        <v>Low</v>
      </c>
      <c r="N415" t="s">
        <v>50</v>
      </c>
    </row>
    <row r="416" spans="1:14" x14ac:dyDescent="0.3">
      <c r="A416" t="s">
        <v>1097</v>
      </c>
      <c r="B416" t="s">
        <v>1098</v>
      </c>
      <c r="C416">
        <v>9736602039</v>
      </c>
      <c r="D416" t="s">
        <v>1099</v>
      </c>
      <c r="E416" t="s">
        <v>65</v>
      </c>
      <c r="F416" t="s">
        <v>41</v>
      </c>
      <c r="G416" t="s">
        <v>30</v>
      </c>
      <c r="H416" s="1">
        <v>46079</v>
      </c>
      <c r="I416" s="1" t="str">
        <f>TEXT(Lead_Data[[#This Row],[Lead_Date]],"mmmm")</f>
        <v>February</v>
      </c>
      <c r="J416">
        <f ca="1">TODAY()-Lead_Data[[#This Row],[Lead_Date]]</f>
        <v>123</v>
      </c>
      <c r="K416" t="s">
        <v>17</v>
      </c>
      <c r="L416">
        <v>217510</v>
      </c>
      <c r="M416" t="str">
        <f>IF(Lead_Data[[#This Row],[Potential_Value]]&gt;100000,"High","Low")</f>
        <v>High</v>
      </c>
      <c r="N416" t="s">
        <v>55</v>
      </c>
    </row>
    <row r="417" spans="1:14" x14ac:dyDescent="0.3">
      <c r="A417" t="s">
        <v>1100</v>
      </c>
      <c r="B417" t="s">
        <v>1101</v>
      </c>
      <c r="C417">
        <v>9619266121</v>
      </c>
      <c r="D417" t="s">
        <v>1102</v>
      </c>
      <c r="E417" t="s">
        <v>14</v>
      </c>
      <c r="F417" t="s">
        <v>72</v>
      </c>
      <c r="G417" t="s">
        <v>30</v>
      </c>
      <c r="H417" s="1">
        <v>46177</v>
      </c>
      <c r="I417" s="1" t="str">
        <f>TEXT(Lead_Data[[#This Row],[Lead_Date]],"mmmm")</f>
        <v>June</v>
      </c>
      <c r="J417">
        <f ca="1">TODAY()-Lead_Data[[#This Row],[Lead_Date]]</f>
        <v>25</v>
      </c>
      <c r="K417" t="s">
        <v>49</v>
      </c>
      <c r="L417">
        <v>216206</v>
      </c>
      <c r="M417" t="str">
        <f>IF(Lead_Data[[#This Row],[Potential_Value]]&gt;100000,"High","Low")</f>
        <v>High</v>
      </c>
      <c r="N417" t="s">
        <v>55</v>
      </c>
    </row>
    <row r="418" spans="1:14" x14ac:dyDescent="0.3">
      <c r="A418" t="s">
        <v>1103</v>
      </c>
      <c r="B418" t="s">
        <v>528</v>
      </c>
      <c r="C418">
        <v>9688219054</v>
      </c>
      <c r="D418" t="s">
        <v>1104</v>
      </c>
      <c r="E418" t="s">
        <v>46</v>
      </c>
      <c r="F418" t="s">
        <v>41</v>
      </c>
      <c r="G418" t="s">
        <v>48</v>
      </c>
      <c r="H418" s="1">
        <v>46064</v>
      </c>
      <c r="I418" s="1" t="str">
        <f>TEXT(Lead_Data[[#This Row],[Lead_Date]],"mmmm")</f>
        <v>February</v>
      </c>
      <c r="J418">
        <f ca="1">TODAY()-Lead_Data[[#This Row],[Lead_Date]]</f>
        <v>138</v>
      </c>
      <c r="K418" t="s">
        <v>31</v>
      </c>
      <c r="L418">
        <v>77975</v>
      </c>
      <c r="M418" t="str">
        <f>IF(Lead_Data[[#This Row],[Potential_Value]]&gt;100000,"High","Low")</f>
        <v>Low</v>
      </c>
      <c r="N418" t="s">
        <v>83</v>
      </c>
    </row>
    <row r="419" spans="1:14" x14ac:dyDescent="0.3">
      <c r="A419" t="s">
        <v>1105</v>
      </c>
      <c r="B419" t="s">
        <v>578</v>
      </c>
      <c r="C419">
        <v>9332108940</v>
      </c>
      <c r="D419" t="s">
        <v>1106</v>
      </c>
      <c r="E419" t="s">
        <v>76</v>
      </c>
      <c r="F419" t="s">
        <v>60</v>
      </c>
      <c r="G419" t="s">
        <v>16</v>
      </c>
      <c r="H419" s="1">
        <v>46134</v>
      </c>
      <c r="I419" s="1" t="str">
        <f>TEXT(Lead_Data[[#This Row],[Lead_Date]],"mmmm")</f>
        <v>April</v>
      </c>
      <c r="J419">
        <f ca="1">TODAY()-Lead_Data[[#This Row],[Lead_Date]]</f>
        <v>68</v>
      </c>
      <c r="K419" t="s">
        <v>49</v>
      </c>
      <c r="L419">
        <v>206090</v>
      </c>
      <c r="M419" t="str">
        <f>IF(Lead_Data[[#This Row],[Potential_Value]]&gt;100000,"High","Low")</f>
        <v>High</v>
      </c>
      <c r="N419" t="s">
        <v>18</v>
      </c>
    </row>
    <row r="420" spans="1:14" x14ac:dyDescent="0.3">
      <c r="A420" t="s">
        <v>1107</v>
      </c>
      <c r="B420" t="s">
        <v>913</v>
      </c>
      <c r="C420">
        <v>9819131092</v>
      </c>
      <c r="D420" t="s">
        <v>1108</v>
      </c>
      <c r="E420" t="s">
        <v>22</v>
      </c>
      <c r="F420" t="s">
        <v>72</v>
      </c>
      <c r="G420" t="s">
        <v>93</v>
      </c>
      <c r="H420" s="1">
        <v>46087</v>
      </c>
      <c r="I420" s="1" t="str">
        <f>TEXT(Lead_Data[[#This Row],[Lead_Date]],"mmmm")</f>
        <v>March</v>
      </c>
      <c r="J420">
        <f ca="1">TODAY()-Lead_Data[[#This Row],[Lead_Date]]</f>
        <v>115</v>
      </c>
      <c r="K420" t="s">
        <v>42</v>
      </c>
      <c r="L420">
        <v>130036</v>
      </c>
      <c r="M420" t="str">
        <f>IF(Lead_Data[[#This Row],[Potential_Value]]&gt;100000,"High","Low")</f>
        <v>High</v>
      </c>
      <c r="N420" t="s">
        <v>18</v>
      </c>
    </row>
    <row r="421" spans="1:14" x14ac:dyDescent="0.3">
      <c r="A421" t="s">
        <v>1109</v>
      </c>
      <c r="B421" t="s">
        <v>762</v>
      </c>
      <c r="C421">
        <v>9316738097</v>
      </c>
      <c r="D421" t="s">
        <v>1110</v>
      </c>
      <c r="E421" t="s">
        <v>76</v>
      </c>
      <c r="F421" t="s">
        <v>60</v>
      </c>
      <c r="G421" t="s">
        <v>61</v>
      </c>
      <c r="H421" s="1">
        <v>46123</v>
      </c>
      <c r="I421" s="1" t="str">
        <f>TEXT(Lead_Data[[#This Row],[Lead_Date]],"mmmm")</f>
        <v>April</v>
      </c>
      <c r="J421">
        <f ca="1">TODAY()-Lead_Data[[#This Row],[Lead_Date]]</f>
        <v>79</v>
      </c>
      <c r="K421" t="s">
        <v>24</v>
      </c>
      <c r="L421">
        <v>116493</v>
      </c>
      <c r="M421" t="str">
        <f>IF(Lead_Data[[#This Row],[Potential_Value]]&gt;100000,"High","Low")</f>
        <v>High</v>
      </c>
      <c r="N421" t="s">
        <v>36</v>
      </c>
    </row>
    <row r="422" spans="1:14" x14ac:dyDescent="0.3">
      <c r="A422" t="s">
        <v>1111</v>
      </c>
      <c r="B422" t="s">
        <v>492</v>
      </c>
      <c r="C422">
        <v>9699023878</v>
      </c>
      <c r="D422" t="s">
        <v>1112</v>
      </c>
      <c r="E422" t="s">
        <v>76</v>
      </c>
      <c r="F422" t="s">
        <v>60</v>
      </c>
      <c r="G422" t="s">
        <v>61</v>
      </c>
      <c r="H422" s="1">
        <v>46175</v>
      </c>
      <c r="I422" s="1" t="str">
        <f>TEXT(Lead_Data[[#This Row],[Lead_Date]],"mmmm")</f>
        <v>June</v>
      </c>
      <c r="J422">
        <f ca="1">TODAY()-Lead_Data[[#This Row],[Lead_Date]]</f>
        <v>27</v>
      </c>
      <c r="K422" t="s">
        <v>17</v>
      </c>
      <c r="L422">
        <v>88766</v>
      </c>
      <c r="M422" t="str">
        <f>IF(Lead_Data[[#This Row],[Potential_Value]]&gt;100000,"High","Low")</f>
        <v>Low</v>
      </c>
      <c r="N422" t="s">
        <v>55</v>
      </c>
    </row>
    <row r="423" spans="1:14" x14ac:dyDescent="0.3">
      <c r="A423" t="s">
        <v>1113</v>
      </c>
      <c r="B423" t="s">
        <v>1114</v>
      </c>
      <c r="C423">
        <v>9873804932</v>
      </c>
      <c r="D423" t="s">
        <v>1115</v>
      </c>
      <c r="E423" t="s">
        <v>76</v>
      </c>
      <c r="F423" t="s">
        <v>47</v>
      </c>
      <c r="G423" t="s">
        <v>61</v>
      </c>
      <c r="H423" s="1">
        <v>46130</v>
      </c>
      <c r="I423" s="1" t="str">
        <f>TEXT(Lead_Data[[#This Row],[Lead_Date]],"mmmm")</f>
        <v>April</v>
      </c>
      <c r="J423">
        <f ca="1">TODAY()-Lead_Data[[#This Row],[Lead_Date]]</f>
        <v>72</v>
      </c>
      <c r="K423" t="s">
        <v>24</v>
      </c>
      <c r="L423">
        <v>48228</v>
      </c>
      <c r="M423" t="str">
        <f>IF(Lead_Data[[#This Row],[Potential_Value]]&gt;100000,"High","Low")</f>
        <v>Low</v>
      </c>
      <c r="N423" t="s">
        <v>83</v>
      </c>
    </row>
    <row r="424" spans="1:14" x14ac:dyDescent="0.3">
      <c r="A424" t="s">
        <v>1116</v>
      </c>
      <c r="B424" t="s">
        <v>255</v>
      </c>
      <c r="C424">
        <v>9662864445</v>
      </c>
      <c r="D424" t="s">
        <v>1117</v>
      </c>
      <c r="E424" t="s">
        <v>28</v>
      </c>
      <c r="F424" t="s">
        <v>23</v>
      </c>
      <c r="G424" t="s">
        <v>61</v>
      </c>
      <c r="H424" s="1">
        <v>46142</v>
      </c>
      <c r="I424" s="1" t="str">
        <f>TEXT(Lead_Data[[#This Row],[Lead_Date]],"mmmm")</f>
        <v>April</v>
      </c>
      <c r="J424">
        <f ca="1">TODAY()-Lead_Data[[#This Row],[Lead_Date]]</f>
        <v>60</v>
      </c>
      <c r="K424" t="s">
        <v>49</v>
      </c>
      <c r="L424">
        <v>33062</v>
      </c>
      <c r="M424" t="str">
        <f>IF(Lead_Data[[#This Row],[Potential_Value]]&gt;100000,"High","Low")</f>
        <v>Low</v>
      </c>
      <c r="N424" t="s">
        <v>83</v>
      </c>
    </row>
    <row r="425" spans="1:14" x14ac:dyDescent="0.3">
      <c r="A425" t="s">
        <v>1118</v>
      </c>
      <c r="B425" t="s">
        <v>52</v>
      </c>
      <c r="C425">
        <v>9564686275</v>
      </c>
      <c r="D425" t="s">
        <v>1119</v>
      </c>
      <c r="E425" t="s">
        <v>40</v>
      </c>
      <c r="F425" t="s">
        <v>60</v>
      </c>
      <c r="G425" t="s">
        <v>93</v>
      </c>
      <c r="H425" s="1">
        <v>46192</v>
      </c>
      <c r="I425" s="1" t="str">
        <f>TEXT(Lead_Data[[#This Row],[Lead_Date]],"mmmm")</f>
        <v>June</v>
      </c>
      <c r="J425">
        <f ca="1">TODAY()-Lead_Data[[#This Row],[Lead_Date]]</f>
        <v>10</v>
      </c>
      <c r="K425" t="s">
        <v>17</v>
      </c>
      <c r="L425">
        <v>66707</v>
      </c>
      <c r="M425" t="str">
        <f>IF(Lead_Data[[#This Row],[Potential_Value]]&gt;100000,"High","Low")</f>
        <v>Low</v>
      </c>
      <c r="N425" t="s">
        <v>36</v>
      </c>
    </row>
    <row r="426" spans="1:14" x14ac:dyDescent="0.3">
      <c r="A426" t="s">
        <v>1120</v>
      </c>
      <c r="B426" t="s">
        <v>725</v>
      </c>
      <c r="C426">
        <v>9762300599</v>
      </c>
      <c r="D426" t="s">
        <v>1121</v>
      </c>
      <c r="E426" t="s">
        <v>65</v>
      </c>
      <c r="F426" t="s">
        <v>72</v>
      </c>
      <c r="G426" t="s">
        <v>61</v>
      </c>
      <c r="H426" s="1">
        <v>46092</v>
      </c>
      <c r="I426" s="1" t="str">
        <f>TEXT(Lead_Data[[#This Row],[Lead_Date]],"mmmm")</f>
        <v>March</v>
      </c>
      <c r="J426">
        <f ca="1">TODAY()-Lead_Data[[#This Row],[Lead_Date]]</f>
        <v>110</v>
      </c>
      <c r="K426" t="s">
        <v>31</v>
      </c>
      <c r="L426">
        <v>68772</v>
      </c>
      <c r="M426" t="str">
        <f>IF(Lead_Data[[#This Row],[Potential_Value]]&gt;100000,"High","Low")</f>
        <v>Low</v>
      </c>
      <c r="N426" t="s">
        <v>83</v>
      </c>
    </row>
    <row r="427" spans="1:14" x14ac:dyDescent="0.3">
      <c r="A427" t="s">
        <v>1122</v>
      </c>
      <c r="B427" t="s">
        <v>440</v>
      </c>
      <c r="C427">
        <v>9551415343</v>
      </c>
      <c r="D427" t="s">
        <v>1123</v>
      </c>
      <c r="E427" t="s">
        <v>65</v>
      </c>
      <c r="F427" t="s">
        <v>47</v>
      </c>
      <c r="G427" t="s">
        <v>16</v>
      </c>
      <c r="H427" s="1">
        <v>46150</v>
      </c>
      <c r="I427" s="1" t="str">
        <f>TEXT(Lead_Data[[#This Row],[Lead_Date]],"mmmm")</f>
        <v>May</v>
      </c>
      <c r="J427">
        <f ca="1">TODAY()-Lead_Data[[#This Row],[Lead_Date]]</f>
        <v>52</v>
      </c>
      <c r="K427" t="s">
        <v>31</v>
      </c>
      <c r="L427">
        <v>234590</v>
      </c>
      <c r="M427" t="str">
        <f>IF(Lead_Data[[#This Row],[Potential_Value]]&gt;100000,"High","Low")</f>
        <v>High</v>
      </c>
      <c r="N427" t="s">
        <v>50</v>
      </c>
    </row>
    <row r="428" spans="1:14" x14ac:dyDescent="0.3">
      <c r="A428" t="s">
        <v>1124</v>
      </c>
      <c r="B428" t="s">
        <v>78</v>
      </c>
      <c r="C428">
        <v>9833534632</v>
      </c>
      <c r="D428" t="s">
        <v>1125</v>
      </c>
      <c r="E428" t="s">
        <v>22</v>
      </c>
      <c r="F428" t="s">
        <v>29</v>
      </c>
      <c r="G428" t="s">
        <v>16</v>
      </c>
      <c r="H428" s="1">
        <v>46049</v>
      </c>
      <c r="I428" s="1" t="str">
        <f>TEXT(Lead_Data[[#This Row],[Lead_Date]],"mmmm")</f>
        <v>January</v>
      </c>
      <c r="J428">
        <f ca="1">TODAY()-Lead_Data[[#This Row],[Lead_Date]]</f>
        <v>153</v>
      </c>
      <c r="K428" t="s">
        <v>35</v>
      </c>
      <c r="L428">
        <v>75748</v>
      </c>
      <c r="M428" t="str">
        <f>IF(Lead_Data[[#This Row],[Potential_Value]]&gt;100000,"High","Low")</f>
        <v>Low</v>
      </c>
      <c r="N428" t="s">
        <v>83</v>
      </c>
    </row>
    <row r="429" spans="1:14" x14ac:dyDescent="0.3">
      <c r="A429" t="s">
        <v>1126</v>
      </c>
      <c r="B429" t="s">
        <v>531</v>
      </c>
      <c r="C429">
        <v>9399403653</v>
      </c>
      <c r="D429" t="s">
        <v>1127</v>
      </c>
      <c r="E429" t="s">
        <v>59</v>
      </c>
      <c r="F429" t="s">
        <v>60</v>
      </c>
      <c r="G429" t="s">
        <v>61</v>
      </c>
      <c r="H429" s="1">
        <v>46119</v>
      </c>
      <c r="I429" s="1" t="str">
        <f>TEXT(Lead_Data[[#This Row],[Lead_Date]],"mmmm")</f>
        <v>April</v>
      </c>
      <c r="J429">
        <f ca="1">TODAY()-Lead_Data[[#This Row],[Lead_Date]]</f>
        <v>83</v>
      </c>
      <c r="K429" t="s">
        <v>35</v>
      </c>
      <c r="L429">
        <v>119059</v>
      </c>
      <c r="M429" t="str">
        <f>IF(Lead_Data[[#This Row],[Potential_Value]]&gt;100000,"High","Low")</f>
        <v>High</v>
      </c>
      <c r="N429" t="s">
        <v>36</v>
      </c>
    </row>
    <row r="430" spans="1:14" x14ac:dyDescent="0.3">
      <c r="A430" t="s">
        <v>1128</v>
      </c>
      <c r="B430" t="s">
        <v>146</v>
      </c>
      <c r="C430">
        <v>9545748131</v>
      </c>
      <c r="D430" t="s">
        <v>1129</v>
      </c>
      <c r="E430" t="s">
        <v>65</v>
      </c>
      <c r="F430" t="s">
        <v>15</v>
      </c>
      <c r="G430" t="s">
        <v>48</v>
      </c>
      <c r="H430" s="1">
        <v>46098</v>
      </c>
      <c r="I430" s="1" t="str">
        <f>TEXT(Lead_Data[[#This Row],[Lead_Date]],"mmmm")</f>
        <v>March</v>
      </c>
      <c r="J430">
        <f ca="1">TODAY()-Lead_Data[[#This Row],[Lead_Date]]</f>
        <v>104</v>
      </c>
      <c r="K430" t="s">
        <v>42</v>
      </c>
      <c r="L430">
        <v>221989</v>
      </c>
      <c r="M430" t="str">
        <f>IF(Lead_Data[[#This Row],[Potential_Value]]&gt;100000,"High","Low")</f>
        <v>High</v>
      </c>
      <c r="N430" t="s">
        <v>36</v>
      </c>
    </row>
    <row r="431" spans="1:14" x14ac:dyDescent="0.3">
      <c r="A431" t="s">
        <v>1130</v>
      </c>
      <c r="B431" t="s">
        <v>434</v>
      </c>
      <c r="C431">
        <v>9817647663</v>
      </c>
      <c r="D431" t="s">
        <v>1131</v>
      </c>
      <c r="E431" t="s">
        <v>14</v>
      </c>
      <c r="F431" t="s">
        <v>47</v>
      </c>
      <c r="G431" t="s">
        <v>48</v>
      </c>
      <c r="H431" s="1">
        <v>46197</v>
      </c>
      <c r="I431" s="1" t="str">
        <f>TEXT(Lead_Data[[#This Row],[Lead_Date]],"mmmm")</f>
        <v>June</v>
      </c>
      <c r="J431">
        <f ca="1">TODAY()-Lead_Data[[#This Row],[Lead_Date]]</f>
        <v>5</v>
      </c>
      <c r="K431" t="s">
        <v>24</v>
      </c>
      <c r="L431">
        <v>91565</v>
      </c>
      <c r="M431" t="str">
        <f>IF(Lead_Data[[#This Row],[Potential_Value]]&gt;100000,"High","Low")</f>
        <v>Low</v>
      </c>
      <c r="N431" t="s">
        <v>18</v>
      </c>
    </row>
    <row r="432" spans="1:14" x14ac:dyDescent="0.3">
      <c r="A432" t="s">
        <v>1132</v>
      </c>
      <c r="B432" t="s">
        <v>477</v>
      </c>
      <c r="C432">
        <v>9514712008</v>
      </c>
      <c r="D432" t="s">
        <v>1133</v>
      </c>
      <c r="E432" t="s">
        <v>46</v>
      </c>
      <c r="F432" t="s">
        <v>72</v>
      </c>
      <c r="G432" t="s">
        <v>30</v>
      </c>
      <c r="H432" s="1">
        <v>46106</v>
      </c>
      <c r="I432" s="1" t="str">
        <f>TEXT(Lead_Data[[#This Row],[Lead_Date]],"mmmm")</f>
        <v>March</v>
      </c>
      <c r="J432">
        <f ca="1">TODAY()-Lead_Data[[#This Row],[Lead_Date]]</f>
        <v>96</v>
      </c>
      <c r="K432" t="s">
        <v>49</v>
      </c>
      <c r="L432">
        <v>47886</v>
      </c>
      <c r="M432" t="str">
        <f>IF(Lead_Data[[#This Row],[Potential_Value]]&gt;100000,"High","Low")</f>
        <v>Low</v>
      </c>
      <c r="N432" t="s">
        <v>50</v>
      </c>
    </row>
    <row r="433" spans="1:14" x14ac:dyDescent="0.3">
      <c r="A433" t="s">
        <v>1134</v>
      </c>
      <c r="B433" t="s">
        <v>566</v>
      </c>
      <c r="C433">
        <v>9316264256</v>
      </c>
      <c r="D433" t="s">
        <v>1135</v>
      </c>
      <c r="E433" t="s">
        <v>59</v>
      </c>
      <c r="F433" t="s">
        <v>41</v>
      </c>
      <c r="G433" t="s">
        <v>16</v>
      </c>
      <c r="H433" s="1">
        <v>46123</v>
      </c>
      <c r="I433" s="1" t="str">
        <f>TEXT(Lead_Data[[#This Row],[Lead_Date]],"mmmm")</f>
        <v>April</v>
      </c>
      <c r="J433">
        <f ca="1">TODAY()-Lead_Data[[#This Row],[Lead_Date]]</f>
        <v>79</v>
      </c>
      <c r="K433" t="s">
        <v>35</v>
      </c>
      <c r="L433">
        <v>83628</v>
      </c>
      <c r="M433" t="str">
        <f>IF(Lead_Data[[#This Row],[Potential_Value]]&gt;100000,"High","Low")</f>
        <v>Low</v>
      </c>
      <c r="N433" t="s">
        <v>50</v>
      </c>
    </row>
    <row r="434" spans="1:14" x14ac:dyDescent="0.3">
      <c r="A434" t="s">
        <v>1136</v>
      </c>
      <c r="B434" t="s">
        <v>1137</v>
      </c>
      <c r="C434">
        <v>9866465755</v>
      </c>
      <c r="D434" t="s">
        <v>1138</v>
      </c>
      <c r="E434" t="s">
        <v>76</v>
      </c>
      <c r="F434" t="s">
        <v>41</v>
      </c>
      <c r="G434" t="s">
        <v>30</v>
      </c>
      <c r="H434" s="1">
        <v>46163</v>
      </c>
      <c r="I434" s="1" t="str">
        <f>TEXT(Lead_Data[[#This Row],[Lead_Date]],"mmmm")</f>
        <v>May</v>
      </c>
      <c r="J434">
        <f ca="1">TODAY()-Lead_Data[[#This Row],[Lead_Date]]</f>
        <v>39</v>
      </c>
      <c r="K434" t="s">
        <v>35</v>
      </c>
      <c r="L434">
        <v>177624</v>
      </c>
      <c r="M434" t="str">
        <f>IF(Lead_Data[[#This Row],[Potential_Value]]&gt;100000,"High","Low")</f>
        <v>High</v>
      </c>
      <c r="N434" t="s">
        <v>55</v>
      </c>
    </row>
    <row r="435" spans="1:14" x14ac:dyDescent="0.3">
      <c r="A435" t="s">
        <v>1139</v>
      </c>
      <c r="B435" t="s">
        <v>986</v>
      </c>
      <c r="C435">
        <v>9653513670</v>
      </c>
      <c r="D435" t="s">
        <v>1140</v>
      </c>
      <c r="E435" t="s">
        <v>28</v>
      </c>
      <c r="F435" t="s">
        <v>29</v>
      </c>
      <c r="G435" t="s">
        <v>30</v>
      </c>
      <c r="H435" s="1">
        <v>46064</v>
      </c>
      <c r="I435" s="1" t="str">
        <f>TEXT(Lead_Data[[#This Row],[Lead_Date]],"mmmm")</f>
        <v>February</v>
      </c>
      <c r="J435">
        <f ca="1">TODAY()-Lead_Data[[#This Row],[Lead_Date]]</f>
        <v>138</v>
      </c>
      <c r="K435" t="s">
        <v>42</v>
      </c>
      <c r="L435">
        <v>101028</v>
      </c>
      <c r="M435" t="str">
        <f>IF(Lead_Data[[#This Row],[Potential_Value]]&gt;100000,"High","Low")</f>
        <v>High</v>
      </c>
      <c r="N435" t="s">
        <v>50</v>
      </c>
    </row>
    <row r="436" spans="1:14" x14ac:dyDescent="0.3">
      <c r="A436" t="s">
        <v>1141</v>
      </c>
      <c r="B436" t="s">
        <v>113</v>
      </c>
      <c r="C436">
        <v>9831763345</v>
      </c>
      <c r="D436" t="s">
        <v>1142</v>
      </c>
      <c r="E436" t="s">
        <v>40</v>
      </c>
      <c r="F436" t="s">
        <v>72</v>
      </c>
      <c r="G436" t="s">
        <v>61</v>
      </c>
      <c r="H436" s="1">
        <v>46101</v>
      </c>
      <c r="I436" s="1" t="str">
        <f>TEXT(Lead_Data[[#This Row],[Lead_Date]],"mmmm")</f>
        <v>March</v>
      </c>
      <c r="J436">
        <f ca="1">TODAY()-Lead_Data[[#This Row],[Lead_Date]]</f>
        <v>101</v>
      </c>
      <c r="K436" t="s">
        <v>17</v>
      </c>
      <c r="L436">
        <v>163950</v>
      </c>
      <c r="M436" t="str">
        <f>IF(Lead_Data[[#This Row],[Potential_Value]]&gt;100000,"High","Low")</f>
        <v>High</v>
      </c>
      <c r="N436" t="s">
        <v>83</v>
      </c>
    </row>
    <row r="437" spans="1:14" x14ac:dyDescent="0.3">
      <c r="A437" t="s">
        <v>1143</v>
      </c>
      <c r="B437" t="s">
        <v>316</v>
      </c>
      <c r="C437">
        <v>9635118304</v>
      </c>
      <c r="D437" t="s">
        <v>1144</v>
      </c>
      <c r="E437" t="s">
        <v>54</v>
      </c>
      <c r="F437" t="s">
        <v>29</v>
      </c>
      <c r="G437" t="s">
        <v>93</v>
      </c>
      <c r="H437" s="1">
        <v>46092</v>
      </c>
      <c r="I437" s="1" t="str">
        <f>TEXT(Lead_Data[[#This Row],[Lead_Date]],"mmmm")</f>
        <v>March</v>
      </c>
      <c r="J437">
        <f ca="1">TODAY()-Lead_Data[[#This Row],[Lead_Date]]</f>
        <v>110</v>
      </c>
      <c r="K437" t="s">
        <v>42</v>
      </c>
      <c r="L437">
        <v>94121</v>
      </c>
      <c r="M437" t="str">
        <f>IF(Lead_Data[[#This Row],[Potential_Value]]&gt;100000,"High","Low")</f>
        <v>Low</v>
      </c>
      <c r="N437" t="s">
        <v>55</v>
      </c>
    </row>
    <row r="438" spans="1:14" x14ac:dyDescent="0.3">
      <c r="A438" t="s">
        <v>1145</v>
      </c>
      <c r="B438" t="s">
        <v>1146</v>
      </c>
      <c r="C438">
        <v>9658558824</v>
      </c>
      <c r="D438" t="s">
        <v>1147</v>
      </c>
      <c r="E438" t="s">
        <v>65</v>
      </c>
      <c r="F438" t="s">
        <v>29</v>
      </c>
      <c r="G438" t="s">
        <v>48</v>
      </c>
      <c r="H438" s="1">
        <v>46123</v>
      </c>
      <c r="I438" s="1" t="str">
        <f>TEXT(Lead_Data[[#This Row],[Lead_Date]],"mmmm")</f>
        <v>April</v>
      </c>
      <c r="J438">
        <f ca="1">TODAY()-Lead_Data[[#This Row],[Lead_Date]]</f>
        <v>79</v>
      </c>
      <c r="K438" t="s">
        <v>49</v>
      </c>
      <c r="L438">
        <v>39482</v>
      </c>
      <c r="M438" t="str">
        <f>IF(Lead_Data[[#This Row],[Potential_Value]]&gt;100000,"High","Low")</f>
        <v>Low</v>
      </c>
      <c r="N438" t="s">
        <v>50</v>
      </c>
    </row>
    <row r="439" spans="1:14" x14ac:dyDescent="0.3">
      <c r="A439" t="s">
        <v>1148</v>
      </c>
      <c r="B439" t="s">
        <v>823</v>
      </c>
      <c r="C439">
        <v>9595511728</v>
      </c>
      <c r="D439" t="s">
        <v>1149</v>
      </c>
      <c r="E439" t="s">
        <v>65</v>
      </c>
      <c r="F439" t="s">
        <v>23</v>
      </c>
      <c r="G439" t="s">
        <v>93</v>
      </c>
      <c r="H439" s="1">
        <v>46063</v>
      </c>
      <c r="I439" s="1" t="str">
        <f>TEXT(Lead_Data[[#This Row],[Lead_Date]],"mmmm")</f>
        <v>February</v>
      </c>
      <c r="J439">
        <f ca="1">TODAY()-Lead_Data[[#This Row],[Lead_Date]]</f>
        <v>139</v>
      </c>
      <c r="K439" t="s">
        <v>49</v>
      </c>
      <c r="L439">
        <v>208463</v>
      </c>
      <c r="M439" t="str">
        <f>IF(Lead_Data[[#This Row],[Potential_Value]]&gt;100000,"High","Low")</f>
        <v>High</v>
      </c>
      <c r="N439" t="s">
        <v>18</v>
      </c>
    </row>
    <row r="440" spans="1:14" x14ac:dyDescent="0.3">
      <c r="A440" t="s">
        <v>1150</v>
      </c>
      <c r="B440" t="s">
        <v>91</v>
      </c>
      <c r="C440">
        <v>9520262619</v>
      </c>
      <c r="D440" t="s">
        <v>1151</v>
      </c>
      <c r="E440" t="s">
        <v>76</v>
      </c>
      <c r="F440" t="s">
        <v>15</v>
      </c>
      <c r="G440" t="s">
        <v>48</v>
      </c>
      <c r="H440" s="1">
        <v>46093</v>
      </c>
      <c r="I440" s="1" t="str">
        <f>TEXT(Lead_Data[[#This Row],[Lead_Date]],"mmmm")</f>
        <v>March</v>
      </c>
      <c r="J440">
        <f ca="1">TODAY()-Lead_Data[[#This Row],[Lead_Date]]</f>
        <v>109</v>
      </c>
      <c r="K440" t="s">
        <v>42</v>
      </c>
      <c r="L440">
        <v>222593</v>
      </c>
      <c r="M440" t="str">
        <f>IF(Lead_Data[[#This Row],[Potential_Value]]&gt;100000,"High","Low")</f>
        <v>High</v>
      </c>
      <c r="N440" t="s">
        <v>83</v>
      </c>
    </row>
    <row r="441" spans="1:14" x14ac:dyDescent="0.3">
      <c r="A441" t="s">
        <v>1152</v>
      </c>
      <c r="B441" t="s">
        <v>1153</v>
      </c>
      <c r="C441">
        <v>9815547237</v>
      </c>
      <c r="D441" t="s">
        <v>1154</v>
      </c>
      <c r="E441" t="s">
        <v>28</v>
      </c>
      <c r="F441" t="s">
        <v>15</v>
      </c>
      <c r="G441" t="s">
        <v>61</v>
      </c>
      <c r="H441" s="1">
        <v>46159</v>
      </c>
      <c r="I441" s="1" t="str">
        <f>TEXT(Lead_Data[[#This Row],[Lead_Date]],"mmmm")</f>
        <v>May</v>
      </c>
      <c r="J441">
        <f ca="1">TODAY()-Lead_Data[[#This Row],[Lead_Date]]</f>
        <v>43</v>
      </c>
      <c r="K441" t="s">
        <v>42</v>
      </c>
      <c r="L441">
        <v>104320</v>
      </c>
      <c r="M441" t="str">
        <f>IF(Lead_Data[[#This Row],[Potential_Value]]&gt;100000,"High","Low")</f>
        <v>High</v>
      </c>
      <c r="N441" t="s">
        <v>83</v>
      </c>
    </row>
    <row r="442" spans="1:14" x14ac:dyDescent="0.3">
      <c r="A442" t="s">
        <v>1155</v>
      </c>
      <c r="B442" t="s">
        <v>762</v>
      </c>
      <c r="C442">
        <v>9322939144</v>
      </c>
      <c r="D442" t="s">
        <v>1156</v>
      </c>
      <c r="E442" t="s">
        <v>76</v>
      </c>
      <c r="F442" t="s">
        <v>60</v>
      </c>
      <c r="G442" t="s">
        <v>30</v>
      </c>
      <c r="H442" s="1">
        <v>46177</v>
      </c>
      <c r="I442" s="1" t="str">
        <f>TEXT(Lead_Data[[#This Row],[Lead_Date]],"mmmm")</f>
        <v>June</v>
      </c>
      <c r="J442">
        <f ca="1">TODAY()-Lead_Data[[#This Row],[Lead_Date]]</f>
        <v>25</v>
      </c>
      <c r="K442" t="s">
        <v>49</v>
      </c>
      <c r="L442">
        <v>53495</v>
      </c>
      <c r="M442" t="str">
        <f>IF(Lead_Data[[#This Row],[Potential_Value]]&gt;100000,"High","Low")</f>
        <v>Low</v>
      </c>
      <c r="N442" t="s">
        <v>50</v>
      </c>
    </row>
    <row r="443" spans="1:14" x14ac:dyDescent="0.3">
      <c r="A443" t="s">
        <v>1157</v>
      </c>
      <c r="B443" t="s">
        <v>1158</v>
      </c>
      <c r="C443">
        <v>9555868184</v>
      </c>
      <c r="D443" t="s">
        <v>1159</v>
      </c>
      <c r="E443" t="s">
        <v>76</v>
      </c>
      <c r="F443" t="s">
        <v>29</v>
      </c>
      <c r="G443" t="s">
        <v>61</v>
      </c>
      <c r="H443" s="1">
        <v>46125</v>
      </c>
      <c r="I443" s="1" t="str">
        <f>TEXT(Lead_Data[[#This Row],[Lead_Date]],"mmmm")</f>
        <v>April</v>
      </c>
      <c r="J443">
        <f ca="1">TODAY()-Lead_Data[[#This Row],[Lead_Date]]</f>
        <v>77</v>
      </c>
      <c r="K443" t="s">
        <v>49</v>
      </c>
      <c r="L443">
        <v>236759</v>
      </c>
      <c r="M443" t="str">
        <f>IF(Lead_Data[[#This Row],[Potential_Value]]&gt;100000,"High","Low")</f>
        <v>High</v>
      </c>
      <c r="N443" t="s">
        <v>50</v>
      </c>
    </row>
    <row r="444" spans="1:14" x14ac:dyDescent="0.3">
      <c r="A444" t="s">
        <v>1160</v>
      </c>
      <c r="B444" t="s">
        <v>840</v>
      </c>
      <c r="C444">
        <v>9365517799</v>
      </c>
      <c r="D444" t="s">
        <v>1161</v>
      </c>
      <c r="E444" t="s">
        <v>54</v>
      </c>
      <c r="F444" t="s">
        <v>72</v>
      </c>
      <c r="G444" t="s">
        <v>93</v>
      </c>
      <c r="H444" s="1">
        <v>46194</v>
      </c>
      <c r="I444" s="1" t="str">
        <f>TEXT(Lead_Data[[#This Row],[Lead_Date]],"mmmm")</f>
        <v>June</v>
      </c>
      <c r="J444">
        <f ca="1">TODAY()-Lead_Data[[#This Row],[Lead_Date]]</f>
        <v>8</v>
      </c>
      <c r="K444" t="s">
        <v>49</v>
      </c>
      <c r="L444">
        <v>188757</v>
      </c>
      <c r="M444" t="str">
        <f>IF(Lead_Data[[#This Row],[Potential_Value]]&gt;100000,"High","Low")</f>
        <v>High</v>
      </c>
      <c r="N444" t="s">
        <v>36</v>
      </c>
    </row>
    <row r="445" spans="1:14" x14ac:dyDescent="0.3">
      <c r="A445" t="s">
        <v>1162</v>
      </c>
      <c r="B445" t="s">
        <v>1163</v>
      </c>
      <c r="C445">
        <v>9887019229</v>
      </c>
      <c r="D445" t="s">
        <v>1164</v>
      </c>
      <c r="E445" t="s">
        <v>22</v>
      </c>
      <c r="F445" t="s">
        <v>47</v>
      </c>
      <c r="G445" t="s">
        <v>48</v>
      </c>
      <c r="H445" s="1">
        <v>46193</v>
      </c>
      <c r="I445" s="1" t="str">
        <f>TEXT(Lead_Data[[#This Row],[Lead_Date]],"mmmm")</f>
        <v>June</v>
      </c>
      <c r="J445">
        <f ca="1">TODAY()-Lead_Data[[#This Row],[Lead_Date]]</f>
        <v>9</v>
      </c>
      <c r="K445" t="s">
        <v>24</v>
      </c>
      <c r="L445">
        <v>66082</v>
      </c>
      <c r="M445" t="str">
        <f>IF(Lead_Data[[#This Row],[Potential_Value]]&gt;100000,"High","Low")</f>
        <v>Low</v>
      </c>
      <c r="N445" t="s">
        <v>18</v>
      </c>
    </row>
    <row r="446" spans="1:14" x14ac:dyDescent="0.3">
      <c r="A446" t="s">
        <v>1165</v>
      </c>
      <c r="B446" t="s">
        <v>213</v>
      </c>
      <c r="C446">
        <v>9730287823</v>
      </c>
      <c r="D446" t="s">
        <v>1166</v>
      </c>
      <c r="E446" t="s">
        <v>22</v>
      </c>
      <c r="F446" t="s">
        <v>47</v>
      </c>
      <c r="G446" t="s">
        <v>30</v>
      </c>
      <c r="H446" s="1">
        <v>46079</v>
      </c>
      <c r="I446" s="1" t="str">
        <f>TEXT(Lead_Data[[#This Row],[Lead_Date]],"mmmm")</f>
        <v>February</v>
      </c>
      <c r="J446">
        <f ca="1">TODAY()-Lead_Data[[#This Row],[Lead_Date]]</f>
        <v>123</v>
      </c>
      <c r="K446" t="s">
        <v>49</v>
      </c>
      <c r="L446">
        <v>245619</v>
      </c>
      <c r="M446" t="str">
        <f>IF(Lead_Data[[#This Row],[Potential_Value]]&gt;100000,"High","Low")</f>
        <v>High</v>
      </c>
      <c r="N446" t="s">
        <v>36</v>
      </c>
    </row>
    <row r="447" spans="1:14" x14ac:dyDescent="0.3">
      <c r="A447" t="s">
        <v>1167</v>
      </c>
      <c r="B447" t="s">
        <v>469</v>
      </c>
      <c r="C447">
        <v>9796899894</v>
      </c>
      <c r="D447" t="s">
        <v>1168</v>
      </c>
      <c r="E447" t="s">
        <v>28</v>
      </c>
      <c r="F447" t="s">
        <v>15</v>
      </c>
      <c r="G447" t="s">
        <v>30</v>
      </c>
      <c r="H447" s="1">
        <v>46121</v>
      </c>
      <c r="I447" s="1" t="str">
        <f>TEXT(Lead_Data[[#This Row],[Lead_Date]],"mmmm")</f>
        <v>April</v>
      </c>
      <c r="J447">
        <f ca="1">TODAY()-Lead_Data[[#This Row],[Lead_Date]]</f>
        <v>81</v>
      </c>
      <c r="K447" t="s">
        <v>42</v>
      </c>
      <c r="L447">
        <v>168557</v>
      </c>
      <c r="M447" t="str">
        <f>IF(Lead_Data[[#This Row],[Potential_Value]]&gt;100000,"High","Low")</f>
        <v>High</v>
      </c>
      <c r="N447" t="s">
        <v>18</v>
      </c>
    </row>
    <row r="448" spans="1:14" x14ac:dyDescent="0.3">
      <c r="A448" t="s">
        <v>1169</v>
      </c>
      <c r="B448" t="s">
        <v>390</v>
      </c>
      <c r="C448">
        <v>9751507104</v>
      </c>
      <c r="D448" t="s">
        <v>1170</v>
      </c>
      <c r="E448" t="s">
        <v>65</v>
      </c>
      <c r="F448" t="s">
        <v>41</v>
      </c>
      <c r="G448" t="s">
        <v>16</v>
      </c>
      <c r="H448" s="1">
        <v>46047</v>
      </c>
      <c r="I448" s="1" t="str">
        <f>TEXT(Lead_Data[[#This Row],[Lead_Date]],"mmmm")</f>
        <v>January</v>
      </c>
      <c r="J448">
        <f ca="1">TODAY()-Lead_Data[[#This Row],[Lead_Date]]</f>
        <v>155</v>
      </c>
      <c r="K448" t="s">
        <v>17</v>
      </c>
      <c r="L448">
        <v>104297</v>
      </c>
      <c r="M448" t="str">
        <f>IF(Lead_Data[[#This Row],[Potential_Value]]&gt;100000,"High","Low")</f>
        <v>High</v>
      </c>
      <c r="N448" t="s">
        <v>36</v>
      </c>
    </row>
    <row r="449" spans="1:14" x14ac:dyDescent="0.3">
      <c r="A449" t="s">
        <v>1171</v>
      </c>
      <c r="B449" t="s">
        <v>381</v>
      </c>
      <c r="C449">
        <v>9639312123</v>
      </c>
      <c r="D449" t="s">
        <v>1172</v>
      </c>
      <c r="E449" t="s">
        <v>46</v>
      </c>
      <c r="F449" t="s">
        <v>41</v>
      </c>
      <c r="G449" t="s">
        <v>93</v>
      </c>
      <c r="H449" s="1">
        <v>46023</v>
      </c>
      <c r="I449" s="1" t="str">
        <f>TEXT(Lead_Data[[#This Row],[Lead_Date]],"mmmm")</f>
        <v>January</v>
      </c>
      <c r="J449">
        <f ca="1">TODAY()-Lead_Data[[#This Row],[Lead_Date]]</f>
        <v>179</v>
      </c>
      <c r="K449" t="s">
        <v>24</v>
      </c>
      <c r="L449">
        <v>82105</v>
      </c>
      <c r="M449" t="str">
        <f>IF(Lead_Data[[#This Row],[Potential_Value]]&gt;100000,"High","Low")</f>
        <v>Low</v>
      </c>
      <c r="N449" t="s">
        <v>18</v>
      </c>
    </row>
    <row r="450" spans="1:14" x14ac:dyDescent="0.3">
      <c r="A450" t="s">
        <v>1173</v>
      </c>
      <c r="B450" t="s">
        <v>1101</v>
      </c>
      <c r="C450">
        <v>9389949477</v>
      </c>
      <c r="D450" t="s">
        <v>1174</v>
      </c>
      <c r="E450" t="s">
        <v>208</v>
      </c>
      <c r="F450" t="s">
        <v>47</v>
      </c>
      <c r="G450" t="s">
        <v>48</v>
      </c>
      <c r="H450" s="1">
        <v>46031</v>
      </c>
      <c r="I450" s="1" t="str">
        <f>TEXT(Lead_Data[[#This Row],[Lead_Date]],"mmmm")</f>
        <v>January</v>
      </c>
      <c r="J450">
        <f ca="1">TODAY()-Lead_Data[[#This Row],[Lead_Date]]</f>
        <v>171</v>
      </c>
      <c r="K450" t="s">
        <v>17</v>
      </c>
      <c r="L450">
        <v>136805</v>
      </c>
      <c r="M450" t="str">
        <f>IF(Lead_Data[[#This Row],[Potential_Value]]&gt;100000,"High","Low")</f>
        <v>High</v>
      </c>
      <c r="N450" t="s">
        <v>50</v>
      </c>
    </row>
    <row r="451" spans="1:14" x14ac:dyDescent="0.3">
      <c r="A451" t="s">
        <v>1175</v>
      </c>
      <c r="B451" t="s">
        <v>107</v>
      </c>
      <c r="C451">
        <v>9654430940</v>
      </c>
      <c r="D451" t="s">
        <v>1176</v>
      </c>
      <c r="E451" t="s">
        <v>28</v>
      </c>
      <c r="F451" t="s">
        <v>72</v>
      </c>
      <c r="G451" t="s">
        <v>93</v>
      </c>
      <c r="H451" s="1">
        <v>46158</v>
      </c>
      <c r="I451" s="1" t="str">
        <f>TEXT(Lead_Data[[#This Row],[Lead_Date]],"mmmm")</f>
        <v>May</v>
      </c>
      <c r="J451">
        <f ca="1">TODAY()-Lead_Data[[#This Row],[Lead_Date]]</f>
        <v>44</v>
      </c>
      <c r="K451" t="s">
        <v>42</v>
      </c>
      <c r="L451">
        <v>218002</v>
      </c>
      <c r="M451" t="str">
        <f>IF(Lead_Data[[#This Row],[Potential_Value]]&gt;100000,"High","Low")</f>
        <v>High</v>
      </c>
      <c r="N451" t="s">
        <v>50</v>
      </c>
    </row>
    <row r="452" spans="1:14" x14ac:dyDescent="0.3">
      <c r="A452" t="s">
        <v>1177</v>
      </c>
      <c r="B452" t="s">
        <v>705</v>
      </c>
      <c r="C452">
        <v>9382084240</v>
      </c>
      <c r="D452" t="s">
        <v>1178</v>
      </c>
      <c r="E452" t="s">
        <v>22</v>
      </c>
      <c r="F452" t="s">
        <v>60</v>
      </c>
      <c r="G452" t="s">
        <v>93</v>
      </c>
      <c r="H452" s="1">
        <v>46030</v>
      </c>
      <c r="I452" s="1" t="str">
        <f>TEXT(Lead_Data[[#This Row],[Lead_Date]],"mmmm")</f>
        <v>January</v>
      </c>
      <c r="J452">
        <f ca="1">TODAY()-Lead_Data[[#This Row],[Lead_Date]]</f>
        <v>172</v>
      </c>
      <c r="K452" t="s">
        <v>17</v>
      </c>
      <c r="L452">
        <v>222540</v>
      </c>
      <c r="M452" t="str">
        <f>IF(Lead_Data[[#This Row],[Potential_Value]]&gt;100000,"High","Low")</f>
        <v>High</v>
      </c>
      <c r="N452" t="s">
        <v>18</v>
      </c>
    </row>
    <row r="453" spans="1:14" x14ac:dyDescent="0.3">
      <c r="A453" t="s">
        <v>1179</v>
      </c>
      <c r="B453" t="s">
        <v>631</v>
      </c>
      <c r="C453">
        <v>9894558524</v>
      </c>
      <c r="D453" t="s">
        <v>1180</v>
      </c>
      <c r="E453" t="s">
        <v>14</v>
      </c>
      <c r="F453" t="s">
        <v>47</v>
      </c>
      <c r="G453" t="s">
        <v>30</v>
      </c>
      <c r="H453" s="1">
        <v>46093</v>
      </c>
      <c r="I453" s="1" t="str">
        <f>TEXT(Lead_Data[[#This Row],[Lead_Date]],"mmmm")</f>
        <v>March</v>
      </c>
      <c r="J453">
        <f ca="1">TODAY()-Lead_Data[[#This Row],[Lead_Date]]</f>
        <v>109</v>
      </c>
      <c r="K453" t="s">
        <v>24</v>
      </c>
      <c r="L453">
        <v>112316</v>
      </c>
      <c r="M453" t="str">
        <f>IF(Lead_Data[[#This Row],[Potential_Value]]&gt;100000,"High","Low")</f>
        <v>High</v>
      </c>
      <c r="N453" t="s">
        <v>18</v>
      </c>
    </row>
    <row r="454" spans="1:14" x14ac:dyDescent="0.3">
      <c r="A454" t="s">
        <v>1181</v>
      </c>
      <c r="B454" t="s">
        <v>1182</v>
      </c>
      <c r="C454">
        <v>9859841587</v>
      </c>
      <c r="D454" t="s">
        <v>1183</v>
      </c>
      <c r="E454" t="s">
        <v>65</v>
      </c>
      <c r="F454" t="s">
        <v>41</v>
      </c>
      <c r="G454" t="s">
        <v>61</v>
      </c>
      <c r="H454" s="1">
        <v>46159</v>
      </c>
      <c r="I454" s="1" t="str">
        <f>TEXT(Lead_Data[[#This Row],[Lead_Date]],"mmmm")</f>
        <v>May</v>
      </c>
      <c r="J454">
        <f ca="1">TODAY()-Lead_Data[[#This Row],[Lead_Date]]</f>
        <v>43</v>
      </c>
      <c r="K454" t="s">
        <v>17</v>
      </c>
      <c r="L454">
        <v>178237</v>
      </c>
      <c r="M454" t="str">
        <f>IF(Lead_Data[[#This Row],[Potential_Value]]&gt;100000,"High","Low")</f>
        <v>High</v>
      </c>
      <c r="N454" t="s">
        <v>55</v>
      </c>
    </row>
    <row r="455" spans="1:14" x14ac:dyDescent="0.3">
      <c r="A455" t="s">
        <v>1184</v>
      </c>
      <c r="B455" t="s">
        <v>399</v>
      </c>
      <c r="C455">
        <v>9592903585</v>
      </c>
      <c r="D455" t="s">
        <v>1185</v>
      </c>
      <c r="E455" t="s">
        <v>22</v>
      </c>
      <c r="F455" t="s">
        <v>15</v>
      </c>
      <c r="G455" t="s">
        <v>16</v>
      </c>
      <c r="H455" s="1">
        <v>46139</v>
      </c>
      <c r="I455" s="1" t="str">
        <f>TEXT(Lead_Data[[#This Row],[Lead_Date]],"mmmm")</f>
        <v>April</v>
      </c>
      <c r="J455">
        <f ca="1">TODAY()-Lead_Data[[#This Row],[Lead_Date]]</f>
        <v>63</v>
      </c>
      <c r="K455" t="s">
        <v>31</v>
      </c>
      <c r="L455">
        <v>39329</v>
      </c>
      <c r="M455" t="str">
        <f>IF(Lead_Data[[#This Row],[Potential_Value]]&gt;100000,"High","Low")</f>
        <v>Low</v>
      </c>
      <c r="N455" t="s">
        <v>55</v>
      </c>
    </row>
    <row r="456" spans="1:14" x14ac:dyDescent="0.3">
      <c r="A456" t="s">
        <v>1186</v>
      </c>
      <c r="B456" t="s">
        <v>495</v>
      </c>
      <c r="C456">
        <v>9720260966</v>
      </c>
      <c r="D456" t="s">
        <v>1187</v>
      </c>
      <c r="E456" t="s">
        <v>208</v>
      </c>
      <c r="F456" t="s">
        <v>29</v>
      </c>
      <c r="G456" t="s">
        <v>93</v>
      </c>
      <c r="H456" s="1">
        <v>46155</v>
      </c>
      <c r="I456" s="1" t="str">
        <f>TEXT(Lead_Data[[#This Row],[Lead_Date]],"mmmm")</f>
        <v>May</v>
      </c>
      <c r="J456">
        <f ca="1">TODAY()-Lead_Data[[#This Row],[Lead_Date]]</f>
        <v>47</v>
      </c>
      <c r="K456" t="s">
        <v>35</v>
      </c>
      <c r="L456">
        <v>204790</v>
      </c>
      <c r="M456" t="str">
        <f>IF(Lead_Data[[#This Row],[Potential_Value]]&gt;100000,"High","Low")</f>
        <v>High</v>
      </c>
      <c r="N456" t="s">
        <v>50</v>
      </c>
    </row>
    <row r="457" spans="1:14" x14ac:dyDescent="0.3">
      <c r="A457" t="s">
        <v>1188</v>
      </c>
      <c r="B457" t="s">
        <v>1189</v>
      </c>
      <c r="C457">
        <v>9613075456</v>
      </c>
      <c r="D457" t="s">
        <v>1190</v>
      </c>
      <c r="E457" t="s">
        <v>208</v>
      </c>
      <c r="F457" t="s">
        <v>23</v>
      </c>
      <c r="G457" t="s">
        <v>61</v>
      </c>
      <c r="H457" s="1">
        <v>46179</v>
      </c>
      <c r="I457" s="1" t="str">
        <f>TEXT(Lead_Data[[#This Row],[Lead_Date]],"mmmm")</f>
        <v>June</v>
      </c>
      <c r="J457">
        <f ca="1">TODAY()-Lead_Data[[#This Row],[Lead_Date]]</f>
        <v>23</v>
      </c>
      <c r="K457" t="s">
        <v>31</v>
      </c>
      <c r="L457">
        <v>119553</v>
      </c>
      <c r="M457" t="str">
        <f>IF(Lead_Data[[#This Row],[Potential_Value]]&gt;100000,"High","Low")</f>
        <v>High</v>
      </c>
      <c r="N457" t="s">
        <v>36</v>
      </c>
    </row>
    <row r="458" spans="1:14" x14ac:dyDescent="0.3">
      <c r="A458" t="s">
        <v>1191</v>
      </c>
      <c r="B458" t="s">
        <v>708</v>
      </c>
      <c r="C458">
        <v>9694231815</v>
      </c>
      <c r="D458" t="s">
        <v>1192</v>
      </c>
      <c r="E458" t="s">
        <v>28</v>
      </c>
      <c r="F458" t="s">
        <v>41</v>
      </c>
      <c r="G458" t="s">
        <v>61</v>
      </c>
      <c r="H458" s="1">
        <v>46064</v>
      </c>
      <c r="I458" s="1" t="str">
        <f>TEXT(Lead_Data[[#This Row],[Lead_Date]],"mmmm")</f>
        <v>February</v>
      </c>
      <c r="J458">
        <f ca="1">TODAY()-Lead_Data[[#This Row],[Lead_Date]]</f>
        <v>138</v>
      </c>
      <c r="K458" t="s">
        <v>49</v>
      </c>
      <c r="L458">
        <v>90149</v>
      </c>
      <c r="M458" t="str">
        <f>IF(Lead_Data[[#This Row],[Potential_Value]]&gt;100000,"High","Low")</f>
        <v>Low</v>
      </c>
      <c r="N458" t="s">
        <v>36</v>
      </c>
    </row>
    <row r="459" spans="1:14" x14ac:dyDescent="0.3">
      <c r="A459" t="s">
        <v>1193</v>
      </c>
      <c r="B459" t="s">
        <v>578</v>
      </c>
      <c r="C459">
        <v>9666508191</v>
      </c>
      <c r="D459" t="s">
        <v>1194</v>
      </c>
      <c r="E459" t="s">
        <v>46</v>
      </c>
      <c r="F459" t="s">
        <v>60</v>
      </c>
      <c r="G459" t="s">
        <v>30</v>
      </c>
      <c r="H459" s="1">
        <v>46030</v>
      </c>
      <c r="I459" s="1" t="str">
        <f>TEXT(Lead_Data[[#This Row],[Lead_Date]],"mmmm")</f>
        <v>January</v>
      </c>
      <c r="J459">
        <f ca="1">TODAY()-Lead_Data[[#This Row],[Lead_Date]]</f>
        <v>172</v>
      </c>
      <c r="K459" t="s">
        <v>49</v>
      </c>
      <c r="L459">
        <v>37970</v>
      </c>
      <c r="M459" t="str">
        <f>IF(Lead_Data[[#This Row],[Potential_Value]]&gt;100000,"High","Low")</f>
        <v>Low</v>
      </c>
      <c r="N459" t="s">
        <v>50</v>
      </c>
    </row>
    <row r="460" spans="1:14" x14ac:dyDescent="0.3">
      <c r="A460" t="s">
        <v>1195</v>
      </c>
      <c r="B460" t="s">
        <v>1098</v>
      </c>
      <c r="C460">
        <v>9575232544</v>
      </c>
      <c r="D460" t="s">
        <v>1196</v>
      </c>
      <c r="E460" t="s">
        <v>65</v>
      </c>
      <c r="F460" t="s">
        <v>60</v>
      </c>
      <c r="G460" t="s">
        <v>61</v>
      </c>
      <c r="H460" s="1">
        <v>46044</v>
      </c>
      <c r="I460" s="1" t="str">
        <f>TEXT(Lead_Data[[#This Row],[Lead_Date]],"mmmm")</f>
        <v>January</v>
      </c>
      <c r="J460">
        <f ca="1">TODAY()-Lead_Data[[#This Row],[Lead_Date]]</f>
        <v>158</v>
      </c>
      <c r="K460" t="s">
        <v>24</v>
      </c>
      <c r="L460">
        <v>245222</v>
      </c>
      <c r="M460" t="str">
        <f>IF(Lead_Data[[#This Row],[Potential_Value]]&gt;100000,"High","Low")</f>
        <v>High</v>
      </c>
      <c r="N460" t="s">
        <v>50</v>
      </c>
    </row>
    <row r="461" spans="1:14" x14ac:dyDescent="0.3">
      <c r="A461" t="s">
        <v>1197</v>
      </c>
      <c r="B461" t="s">
        <v>531</v>
      </c>
      <c r="C461">
        <v>9678174091</v>
      </c>
      <c r="D461" t="s">
        <v>1198</v>
      </c>
      <c r="E461" t="s">
        <v>22</v>
      </c>
      <c r="F461" t="s">
        <v>15</v>
      </c>
      <c r="G461" t="s">
        <v>61</v>
      </c>
      <c r="H461" s="1">
        <v>46122</v>
      </c>
      <c r="I461" s="1" t="str">
        <f>TEXT(Lead_Data[[#This Row],[Lead_Date]],"mmmm")</f>
        <v>April</v>
      </c>
      <c r="J461">
        <f ca="1">TODAY()-Lead_Data[[#This Row],[Lead_Date]]</f>
        <v>80</v>
      </c>
      <c r="K461" t="s">
        <v>35</v>
      </c>
      <c r="L461">
        <v>15562</v>
      </c>
      <c r="M461" t="str">
        <f>IF(Lead_Data[[#This Row],[Potential_Value]]&gt;100000,"High","Low")</f>
        <v>Low</v>
      </c>
      <c r="N461" t="s">
        <v>50</v>
      </c>
    </row>
    <row r="462" spans="1:14" x14ac:dyDescent="0.3">
      <c r="A462" t="s">
        <v>1199</v>
      </c>
      <c r="B462" t="s">
        <v>550</v>
      </c>
      <c r="C462">
        <v>9561559957</v>
      </c>
      <c r="D462" t="s">
        <v>1200</v>
      </c>
      <c r="E462" t="s">
        <v>76</v>
      </c>
      <c r="F462" t="s">
        <v>72</v>
      </c>
      <c r="G462" t="s">
        <v>93</v>
      </c>
      <c r="H462" s="1">
        <v>46064</v>
      </c>
      <c r="I462" s="1" t="str">
        <f>TEXT(Lead_Data[[#This Row],[Lead_Date]],"mmmm")</f>
        <v>February</v>
      </c>
      <c r="J462">
        <f ca="1">TODAY()-Lead_Data[[#This Row],[Lead_Date]]</f>
        <v>138</v>
      </c>
      <c r="K462" t="s">
        <v>17</v>
      </c>
      <c r="L462">
        <v>39131</v>
      </c>
      <c r="M462" t="str">
        <f>IF(Lead_Data[[#This Row],[Potential_Value]]&gt;100000,"High","Low")</f>
        <v>Low</v>
      </c>
      <c r="N462" t="s">
        <v>50</v>
      </c>
    </row>
    <row r="463" spans="1:14" x14ac:dyDescent="0.3">
      <c r="A463" t="s">
        <v>1201</v>
      </c>
      <c r="B463" t="s">
        <v>1080</v>
      </c>
      <c r="C463">
        <v>9811224663</v>
      </c>
      <c r="D463" t="s">
        <v>1202</v>
      </c>
      <c r="E463" t="s">
        <v>46</v>
      </c>
      <c r="F463" t="s">
        <v>60</v>
      </c>
      <c r="G463" t="s">
        <v>30</v>
      </c>
      <c r="H463" s="1">
        <v>46045</v>
      </c>
      <c r="I463" s="1" t="str">
        <f>TEXT(Lead_Data[[#This Row],[Lead_Date]],"mmmm")</f>
        <v>January</v>
      </c>
      <c r="J463">
        <f ca="1">TODAY()-Lead_Data[[#This Row],[Lead_Date]]</f>
        <v>157</v>
      </c>
      <c r="K463" t="s">
        <v>31</v>
      </c>
      <c r="L463">
        <v>243051</v>
      </c>
      <c r="M463" t="str">
        <f>IF(Lead_Data[[#This Row],[Potential_Value]]&gt;100000,"High","Low")</f>
        <v>High</v>
      </c>
      <c r="N463" t="s">
        <v>18</v>
      </c>
    </row>
    <row r="464" spans="1:14" x14ac:dyDescent="0.3">
      <c r="A464" t="s">
        <v>1203</v>
      </c>
      <c r="B464" t="s">
        <v>625</v>
      </c>
      <c r="C464">
        <v>9655425994</v>
      </c>
      <c r="D464" t="s">
        <v>1204</v>
      </c>
      <c r="E464" t="s">
        <v>40</v>
      </c>
      <c r="F464" t="s">
        <v>29</v>
      </c>
      <c r="G464" t="s">
        <v>48</v>
      </c>
      <c r="H464" s="1">
        <v>46182</v>
      </c>
      <c r="I464" s="1" t="str">
        <f>TEXT(Lead_Data[[#This Row],[Lead_Date]],"mmmm")</f>
        <v>June</v>
      </c>
      <c r="J464">
        <f ca="1">TODAY()-Lead_Data[[#This Row],[Lead_Date]]</f>
        <v>20</v>
      </c>
      <c r="K464" t="s">
        <v>35</v>
      </c>
      <c r="L464">
        <v>246992</v>
      </c>
      <c r="M464" t="str">
        <f>IF(Lead_Data[[#This Row],[Potential_Value]]&gt;100000,"High","Low")</f>
        <v>High</v>
      </c>
      <c r="N464" t="s">
        <v>50</v>
      </c>
    </row>
    <row r="465" spans="1:14" x14ac:dyDescent="0.3">
      <c r="A465" t="s">
        <v>1205</v>
      </c>
      <c r="B465" t="s">
        <v>1206</v>
      </c>
      <c r="C465">
        <v>9661353159</v>
      </c>
      <c r="D465" t="s">
        <v>1207</v>
      </c>
      <c r="E465" t="s">
        <v>14</v>
      </c>
      <c r="F465" t="s">
        <v>47</v>
      </c>
      <c r="G465" t="s">
        <v>93</v>
      </c>
      <c r="H465" s="1">
        <v>46049</v>
      </c>
      <c r="I465" s="1" t="str">
        <f>TEXT(Lead_Data[[#This Row],[Lead_Date]],"mmmm")</f>
        <v>January</v>
      </c>
      <c r="J465">
        <f ca="1">TODAY()-Lead_Data[[#This Row],[Lead_Date]]</f>
        <v>153</v>
      </c>
      <c r="K465" t="s">
        <v>31</v>
      </c>
      <c r="L465">
        <v>125353</v>
      </c>
      <c r="M465" t="str">
        <f>IF(Lead_Data[[#This Row],[Potential_Value]]&gt;100000,"High","Low")</f>
        <v>High</v>
      </c>
      <c r="N465" t="s">
        <v>55</v>
      </c>
    </row>
    <row r="466" spans="1:14" x14ac:dyDescent="0.3">
      <c r="A466" t="s">
        <v>1208</v>
      </c>
      <c r="B466" t="s">
        <v>38</v>
      </c>
      <c r="C466">
        <v>9519067464</v>
      </c>
      <c r="D466" t="s">
        <v>1209</v>
      </c>
      <c r="E466" t="s">
        <v>208</v>
      </c>
      <c r="F466" t="s">
        <v>60</v>
      </c>
      <c r="G466" t="s">
        <v>48</v>
      </c>
      <c r="H466" s="1">
        <v>46168</v>
      </c>
      <c r="I466" s="1" t="str">
        <f>TEXT(Lead_Data[[#This Row],[Lead_Date]],"mmmm")</f>
        <v>May</v>
      </c>
      <c r="J466">
        <f ca="1">TODAY()-Lead_Data[[#This Row],[Lead_Date]]</f>
        <v>34</v>
      </c>
      <c r="K466" t="s">
        <v>31</v>
      </c>
      <c r="L466">
        <v>114914</v>
      </c>
      <c r="M466" t="str">
        <f>IF(Lead_Data[[#This Row],[Potential_Value]]&gt;100000,"High","Low")</f>
        <v>High</v>
      </c>
      <c r="N466" t="s">
        <v>50</v>
      </c>
    </row>
    <row r="467" spans="1:14" x14ac:dyDescent="0.3">
      <c r="A467" t="s">
        <v>1210</v>
      </c>
      <c r="B467" t="s">
        <v>986</v>
      </c>
      <c r="C467">
        <v>9591321827</v>
      </c>
      <c r="D467" t="s">
        <v>1211</v>
      </c>
      <c r="E467" t="s">
        <v>14</v>
      </c>
      <c r="F467" t="s">
        <v>29</v>
      </c>
      <c r="G467" t="s">
        <v>16</v>
      </c>
      <c r="H467" s="1">
        <v>46059</v>
      </c>
      <c r="I467" s="1" t="str">
        <f>TEXT(Lead_Data[[#This Row],[Lead_Date]],"mmmm")</f>
        <v>February</v>
      </c>
      <c r="J467">
        <f ca="1">TODAY()-Lead_Data[[#This Row],[Lead_Date]]</f>
        <v>143</v>
      </c>
      <c r="K467" t="s">
        <v>24</v>
      </c>
      <c r="L467">
        <v>26447</v>
      </c>
      <c r="M467" t="str">
        <f>IF(Lead_Data[[#This Row],[Potential_Value]]&gt;100000,"High","Low")</f>
        <v>Low</v>
      </c>
      <c r="N467" t="s">
        <v>50</v>
      </c>
    </row>
    <row r="468" spans="1:14" x14ac:dyDescent="0.3">
      <c r="A468" t="s">
        <v>1212</v>
      </c>
      <c r="B468" t="s">
        <v>1213</v>
      </c>
      <c r="C468">
        <v>9340088654</v>
      </c>
      <c r="D468" t="s">
        <v>1214</v>
      </c>
      <c r="E468" t="s">
        <v>208</v>
      </c>
      <c r="F468" t="s">
        <v>72</v>
      </c>
      <c r="G468" t="s">
        <v>30</v>
      </c>
      <c r="H468" s="1">
        <v>46185</v>
      </c>
      <c r="I468" s="1" t="str">
        <f>TEXT(Lead_Data[[#This Row],[Lead_Date]],"mmmm")</f>
        <v>June</v>
      </c>
      <c r="J468">
        <f ca="1">TODAY()-Lead_Data[[#This Row],[Lead_Date]]</f>
        <v>17</v>
      </c>
      <c r="K468" t="s">
        <v>31</v>
      </c>
      <c r="L468">
        <v>220428</v>
      </c>
      <c r="M468" t="str">
        <f>IF(Lead_Data[[#This Row],[Potential_Value]]&gt;100000,"High","Low")</f>
        <v>High</v>
      </c>
      <c r="N468" t="s">
        <v>36</v>
      </c>
    </row>
    <row r="469" spans="1:14" x14ac:dyDescent="0.3">
      <c r="A469" t="s">
        <v>1215</v>
      </c>
      <c r="B469" t="s">
        <v>1101</v>
      </c>
      <c r="C469">
        <v>9542272760</v>
      </c>
      <c r="D469" t="s">
        <v>1216</v>
      </c>
      <c r="E469" t="s">
        <v>208</v>
      </c>
      <c r="F469" t="s">
        <v>47</v>
      </c>
      <c r="G469" t="s">
        <v>16</v>
      </c>
      <c r="H469" s="1">
        <v>46079</v>
      </c>
      <c r="I469" s="1" t="str">
        <f>TEXT(Lead_Data[[#This Row],[Lead_Date]],"mmmm")</f>
        <v>February</v>
      </c>
      <c r="J469">
        <f ca="1">TODAY()-Lead_Data[[#This Row],[Lead_Date]]</f>
        <v>123</v>
      </c>
      <c r="K469" t="s">
        <v>24</v>
      </c>
      <c r="L469">
        <v>78932</v>
      </c>
      <c r="M469" t="str">
        <f>IF(Lead_Data[[#This Row],[Potential_Value]]&gt;100000,"High","Low")</f>
        <v>Low</v>
      </c>
      <c r="N469" t="s">
        <v>36</v>
      </c>
    </row>
    <row r="470" spans="1:14" x14ac:dyDescent="0.3">
      <c r="A470" t="s">
        <v>1217</v>
      </c>
      <c r="B470" t="s">
        <v>1218</v>
      </c>
      <c r="C470">
        <v>9523933938</v>
      </c>
      <c r="D470" t="s">
        <v>1219</v>
      </c>
      <c r="E470" t="s">
        <v>59</v>
      </c>
      <c r="F470" t="s">
        <v>72</v>
      </c>
      <c r="G470" t="s">
        <v>16</v>
      </c>
      <c r="H470" s="1">
        <v>46047</v>
      </c>
      <c r="I470" s="1" t="str">
        <f>TEXT(Lead_Data[[#This Row],[Lead_Date]],"mmmm")</f>
        <v>January</v>
      </c>
      <c r="J470">
        <f ca="1">TODAY()-Lead_Data[[#This Row],[Lead_Date]]</f>
        <v>155</v>
      </c>
      <c r="K470" t="s">
        <v>31</v>
      </c>
      <c r="L470">
        <v>171454</v>
      </c>
      <c r="M470" t="str">
        <f>IF(Lead_Data[[#This Row],[Potential_Value]]&gt;100000,"High","Low")</f>
        <v>High</v>
      </c>
      <c r="N470" t="s">
        <v>18</v>
      </c>
    </row>
    <row r="471" spans="1:14" x14ac:dyDescent="0.3">
      <c r="A471" t="s">
        <v>1220</v>
      </c>
      <c r="B471" t="s">
        <v>235</v>
      </c>
      <c r="C471">
        <v>9510303664</v>
      </c>
      <c r="D471" t="s">
        <v>1221</v>
      </c>
      <c r="E471" t="s">
        <v>208</v>
      </c>
      <c r="F471" t="s">
        <v>47</v>
      </c>
      <c r="G471" t="s">
        <v>30</v>
      </c>
      <c r="H471" s="1">
        <v>46041</v>
      </c>
      <c r="I471" s="1" t="str">
        <f>TEXT(Lead_Data[[#This Row],[Lead_Date]],"mmmm")</f>
        <v>January</v>
      </c>
      <c r="J471">
        <f ca="1">TODAY()-Lead_Data[[#This Row],[Lead_Date]]</f>
        <v>161</v>
      </c>
      <c r="K471" t="s">
        <v>42</v>
      </c>
      <c r="L471">
        <v>157226</v>
      </c>
      <c r="M471" t="str">
        <f>IF(Lead_Data[[#This Row],[Potential_Value]]&gt;100000,"High","Low")</f>
        <v>High</v>
      </c>
      <c r="N471" t="s">
        <v>18</v>
      </c>
    </row>
    <row r="472" spans="1:14" x14ac:dyDescent="0.3">
      <c r="A472" t="s">
        <v>1222</v>
      </c>
      <c r="B472" t="s">
        <v>1223</v>
      </c>
      <c r="C472">
        <v>9320418187</v>
      </c>
      <c r="D472" t="s">
        <v>1224</v>
      </c>
      <c r="E472" t="s">
        <v>40</v>
      </c>
      <c r="F472" t="s">
        <v>47</v>
      </c>
      <c r="G472" t="s">
        <v>61</v>
      </c>
      <c r="H472" s="1">
        <v>46036</v>
      </c>
      <c r="I472" s="1" t="str">
        <f>TEXT(Lead_Data[[#This Row],[Lead_Date]],"mmmm")</f>
        <v>January</v>
      </c>
      <c r="J472">
        <f ca="1">TODAY()-Lead_Data[[#This Row],[Lead_Date]]</f>
        <v>166</v>
      </c>
      <c r="K472" t="s">
        <v>24</v>
      </c>
      <c r="L472">
        <v>114060</v>
      </c>
      <c r="M472" t="str">
        <f>IF(Lead_Data[[#This Row],[Potential_Value]]&gt;100000,"High","Low")</f>
        <v>High</v>
      </c>
      <c r="N472" t="s">
        <v>36</v>
      </c>
    </row>
    <row r="473" spans="1:14" x14ac:dyDescent="0.3">
      <c r="A473" t="s">
        <v>1225</v>
      </c>
      <c r="B473" t="s">
        <v>1047</v>
      </c>
      <c r="C473">
        <v>9835148162</v>
      </c>
      <c r="D473" t="s">
        <v>1226</v>
      </c>
      <c r="E473" t="s">
        <v>46</v>
      </c>
      <c r="F473" t="s">
        <v>72</v>
      </c>
      <c r="G473" t="s">
        <v>30</v>
      </c>
      <c r="H473" s="1">
        <v>46152</v>
      </c>
      <c r="I473" s="1" t="str">
        <f>TEXT(Lead_Data[[#This Row],[Lead_Date]],"mmmm")</f>
        <v>May</v>
      </c>
      <c r="J473">
        <f ca="1">TODAY()-Lead_Data[[#This Row],[Lead_Date]]</f>
        <v>50</v>
      </c>
      <c r="K473" t="s">
        <v>35</v>
      </c>
      <c r="L473">
        <v>180408</v>
      </c>
      <c r="M473" t="str">
        <f>IF(Lead_Data[[#This Row],[Potential_Value]]&gt;100000,"High","Low")</f>
        <v>High</v>
      </c>
      <c r="N473" t="s">
        <v>50</v>
      </c>
    </row>
    <row r="474" spans="1:14" x14ac:dyDescent="0.3">
      <c r="A474" t="s">
        <v>1227</v>
      </c>
      <c r="B474" t="s">
        <v>1163</v>
      </c>
      <c r="C474">
        <v>9883298442</v>
      </c>
      <c r="D474" t="s">
        <v>1228</v>
      </c>
      <c r="E474" t="s">
        <v>65</v>
      </c>
      <c r="F474" t="s">
        <v>41</v>
      </c>
      <c r="G474" t="s">
        <v>30</v>
      </c>
      <c r="H474" s="1">
        <v>46156</v>
      </c>
      <c r="I474" s="1" t="str">
        <f>TEXT(Lead_Data[[#This Row],[Lead_Date]],"mmmm")</f>
        <v>May</v>
      </c>
      <c r="J474">
        <f ca="1">TODAY()-Lead_Data[[#This Row],[Lead_Date]]</f>
        <v>46</v>
      </c>
      <c r="K474" t="s">
        <v>17</v>
      </c>
      <c r="L474">
        <v>201410</v>
      </c>
      <c r="M474" t="str">
        <f>IF(Lead_Data[[#This Row],[Potential_Value]]&gt;100000,"High","Low")</f>
        <v>High</v>
      </c>
      <c r="N474" t="s">
        <v>50</v>
      </c>
    </row>
    <row r="475" spans="1:14" x14ac:dyDescent="0.3">
      <c r="A475" t="s">
        <v>1229</v>
      </c>
      <c r="B475" t="s">
        <v>681</v>
      </c>
      <c r="C475">
        <v>9650630801</v>
      </c>
      <c r="D475" t="s">
        <v>1230</v>
      </c>
      <c r="E475" t="s">
        <v>54</v>
      </c>
      <c r="F475" t="s">
        <v>72</v>
      </c>
      <c r="G475" t="s">
        <v>48</v>
      </c>
      <c r="H475" s="1">
        <v>46102</v>
      </c>
      <c r="I475" s="1" t="str">
        <f>TEXT(Lead_Data[[#This Row],[Lead_Date]],"mmmm")</f>
        <v>March</v>
      </c>
      <c r="J475">
        <f ca="1">TODAY()-Lead_Data[[#This Row],[Lead_Date]]</f>
        <v>100</v>
      </c>
      <c r="K475" t="s">
        <v>42</v>
      </c>
      <c r="L475">
        <v>161057</v>
      </c>
      <c r="M475" t="str">
        <f>IF(Lead_Data[[#This Row],[Potential_Value]]&gt;100000,"High","Low")</f>
        <v>High</v>
      </c>
      <c r="N475" t="s">
        <v>83</v>
      </c>
    </row>
    <row r="476" spans="1:14" x14ac:dyDescent="0.3">
      <c r="A476" t="s">
        <v>1231</v>
      </c>
      <c r="B476" t="s">
        <v>20</v>
      </c>
      <c r="C476">
        <v>9815845216</v>
      </c>
      <c r="D476" t="s">
        <v>1232</v>
      </c>
      <c r="E476" t="s">
        <v>28</v>
      </c>
      <c r="F476" t="s">
        <v>72</v>
      </c>
      <c r="G476" t="s">
        <v>16</v>
      </c>
      <c r="H476" s="1">
        <v>46052</v>
      </c>
      <c r="I476" s="1" t="str">
        <f>TEXT(Lead_Data[[#This Row],[Lead_Date]],"mmmm")</f>
        <v>January</v>
      </c>
      <c r="J476">
        <f ca="1">TODAY()-Lead_Data[[#This Row],[Lead_Date]]</f>
        <v>150</v>
      </c>
      <c r="K476" t="s">
        <v>24</v>
      </c>
      <c r="L476">
        <v>129438</v>
      </c>
      <c r="M476" t="str">
        <f>IF(Lead_Data[[#This Row],[Potential_Value]]&gt;100000,"High","Low")</f>
        <v>High</v>
      </c>
      <c r="N476" t="s">
        <v>55</v>
      </c>
    </row>
    <row r="477" spans="1:14" x14ac:dyDescent="0.3">
      <c r="A477" t="s">
        <v>1233</v>
      </c>
      <c r="B477" t="s">
        <v>1223</v>
      </c>
      <c r="C477">
        <v>9720711873</v>
      </c>
      <c r="D477" t="s">
        <v>1234</v>
      </c>
      <c r="E477" t="s">
        <v>208</v>
      </c>
      <c r="F477" t="s">
        <v>41</v>
      </c>
      <c r="G477" t="s">
        <v>30</v>
      </c>
      <c r="H477" s="1">
        <v>46028</v>
      </c>
      <c r="I477" s="1" t="str">
        <f>TEXT(Lead_Data[[#This Row],[Lead_Date]],"mmmm")</f>
        <v>January</v>
      </c>
      <c r="J477">
        <f ca="1">TODAY()-Lead_Data[[#This Row],[Lead_Date]]</f>
        <v>174</v>
      </c>
      <c r="K477" t="s">
        <v>35</v>
      </c>
      <c r="L477">
        <v>188484</v>
      </c>
      <c r="M477" t="str">
        <f>IF(Lead_Data[[#This Row],[Potential_Value]]&gt;100000,"High","Low")</f>
        <v>High</v>
      </c>
      <c r="N477" t="s">
        <v>50</v>
      </c>
    </row>
    <row r="478" spans="1:14" x14ac:dyDescent="0.3">
      <c r="A478" t="s">
        <v>1235</v>
      </c>
      <c r="B478" t="s">
        <v>1236</v>
      </c>
      <c r="C478">
        <v>9834133894</v>
      </c>
      <c r="D478" t="s">
        <v>1237</v>
      </c>
      <c r="E478" t="s">
        <v>54</v>
      </c>
      <c r="F478" t="s">
        <v>29</v>
      </c>
      <c r="G478" t="s">
        <v>61</v>
      </c>
      <c r="H478" s="1">
        <v>46181</v>
      </c>
      <c r="I478" s="1" t="str">
        <f>TEXT(Lead_Data[[#This Row],[Lead_Date]],"mmmm")</f>
        <v>June</v>
      </c>
      <c r="J478">
        <f ca="1">TODAY()-Lead_Data[[#This Row],[Lead_Date]]</f>
        <v>21</v>
      </c>
      <c r="K478" t="s">
        <v>35</v>
      </c>
      <c r="L478">
        <v>45163</v>
      </c>
      <c r="M478" t="str">
        <f>IF(Lead_Data[[#This Row],[Potential_Value]]&gt;100000,"High","Low")</f>
        <v>Low</v>
      </c>
      <c r="N478" t="s">
        <v>83</v>
      </c>
    </row>
    <row r="479" spans="1:14" x14ac:dyDescent="0.3">
      <c r="A479" t="s">
        <v>1238</v>
      </c>
      <c r="B479" t="s">
        <v>705</v>
      </c>
      <c r="C479">
        <v>9853542197</v>
      </c>
      <c r="D479" t="s">
        <v>1239</v>
      </c>
      <c r="E479" t="s">
        <v>14</v>
      </c>
      <c r="F479" t="s">
        <v>72</v>
      </c>
      <c r="G479" t="s">
        <v>48</v>
      </c>
      <c r="H479" s="1">
        <v>46120</v>
      </c>
      <c r="I479" s="1" t="str">
        <f>TEXT(Lead_Data[[#This Row],[Lead_Date]],"mmmm")</f>
        <v>April</v>
      </c>
      <c r="J479">
        <f ca="1">TODAY()-Lead_Data[[#This Row],[Lead_Date]]</f>
        <v>82</v>
      </c>
      <c r="K479" t="s">
        <v>31</v>
      </c>
      <c r="L479">
        <v>181446</v>
      </c>
      <c r="M479" t="str">
        <f>IF(Lead_Data[[#This Row],[Potential_Value]]&gt;100000,"High","Low")</f>
        <v>High</v>
      </c>
      <c r="N479" t="s">
        <v>55</v>
      </c>
    </row>
    <row r="480" spans="1:14" x14ac:dyDescent="0.3">
      <c r="A480" t="s">
        <v>1240</v>
      </c>
      <c r="B480" t="s">
        <v>230</v>
      </c>
      <c r="C480">
        <v>9646801978</v>
      </c>
      <c r="D480" t="s">
        <v>1241</v>
      </c>
      <c r="E480" t="s">
        <v>208</v>
      </c>
      <c r="F480" t="s">
        <v>29</v>
      </c>
      <c r="G480" t="s">
        <v>16</v>
      </c>
      <c r="H480" s="1">
        <v>46086</v>
      </c>
      <c r="I480" s="1" t="str">
        <f>TEXT(Lead_Data[[#This Row],[Lead_Date]],"mmmm")</f>
        <v>March</v>
      </c>
      <c r="J480">
        <f ca="1">TODAY()-Lead_Data[[#This Row],[Lead_Date]]</f>
        <v>116</v>
      </c>
      <c r="K480" t="s">
        <v>17</v>
      </c>
      <c r="L480">
        <v>99315</v>
      </c>
      <c r="M480" t="str">
        <f>IF(Lead_Data[[#This Row],[Potential_Value]]&gt;100000,"High","Low")</f>
        <v>Low</v>
      </c>
      <c r="N480" t="s">
        <v>50</v>
      </c>
    </row>
    <row r="481" spans="1:14" x14ac:dyDescent="0.3">
      <c r="A481" t="s">
        <v>1242</v>
      </c>
      <c r="B481" t="s">
        <v>625</v>
      </c>
      <c r="C481">
        <v>9610232313</v>
      </c>
      <c r="D481" t="s">
        <v>1243</v>
      </c>
      <c r="E481" t="s">
        <v>65</v>
      </c>
      <c r="F481" t="s">
        <v>60</v>
      </c>
      <c r="G481" t="s">
        <v>30</v>
      </c>
      <c r="H481" s="1">
        <v>46084</v>
      </c>
      <c r="I481" s="1" t="str">
        <f>TEXT(Lead_Data[[#This Row],[Lead_Date]],"mmmm")</f>
        <v>March</v>
      </c>
      <c r="J481">
        <f ca="1">TODAY()-Lead_Data[[#This Row],[Lead_Date]]</f>
        <v>118</v>
      </c>
      <c r="K481" t="s">
        <v>42</v>
      </c>
      <c r="L481">
        <v>52285</v>
      </c>
      <c r="M481" t="str">
        <f>IF(Lead_Data[[#This Row],[Potential_Value]]&gt;100000,"High","Low")</f>
        <v>Low</v>
      </c>
      <c r="N481" t="s">
        <v>36</v>
      </c>
    </row>
    <row r="482" spans="1:14" x14ac:dyDescent="0.3">
      <c r="A482" t="s">
        <v>1244</v>
      </c>
      <c r="B482" t="s">
        <v>652</v>
      </c>
      <c r="C482">
        <v>9667042649</v>
      </c>
      <c r="D482" t="s">
        <v>1245</v>
      </c>
      <c r="E482" t="s">
        <v>65</v>
      </c>
      <c r="F482" t="s">
        <v>15</v>
      </c>
      <c r="G482" t="s">
        <v>30</v>
      </c>
      <c r="H482" s="1">
        <v>46183</v>
      </c>
      <c r="I482" s="1" t="str">
        <f>TEXT(Lead_Data[[#This Row],[Lead_Date]],"mmmm")</f>
        <v>June</v>
      </c>
      <c r="J482">
        <f ca="1">TODAY()-Lead_Data[[#This Row],[Lead_Date]]</f>
        <v>19</v>
      </c>
      <c r="K482" t="s">
        <v>42</v>
      </c>
      <c r="L482">
        <v>41944</v>
      </c>
      <c r="M482" t="str">
        <f>IF(Lead_Data[[#This Row],[Potential_Value]]&gt;100000,"High","Low")</f>
        <v>Low</v>
      </c>
      <c r="N482" t="s">
        <v>55</v>
      </c>
    </row>
    <row r="483" spans="1:14" x14ac:dyDescent="0.3">
      <c r="A483" t="s">
        <v>1246</v>
      </c>
      <c r="B483" t="s">
        <v>1247</v>
      </c>
      <c r="C483">
        <v>9897233519</v>
      </c>
      <c r="D483" t="s">
        <v>1248</v>
      </c>
      <c r="E483" t="s">
        <v>40</v>
      </c>
      <c r="F483" t="s">
        <v>72</v>
      </c>
      <c r="G483" t="s">
        <v>48</v>
      </c>
      <c r="H483" s="1">
        <v>46192</v>
      </c>
      <c r="I483" s="1" t="str">
        <f>TEXT(Lead_Data[[#This Row],[Lead_Date]],"mmmm")</f>
        <v>June</v>
      </c>
      <c r="J483">
        <f ca="1">TODAY()-Lead_Data[[#This Row],[Lead_Date]]</f>
        <v>10</v>
      </c>
      <c r="K483" t="s">
        <v>42</v>
      </c>
      <c r="L483">
        <v>190825</v>
      </c>
      <c r="M483" t="str">
        <f>IF(Lead_Data[[#This Row],[Potential_Value]]&gt;100000,"High","Low")</f>
        <v>High</v>
      </c>
      <c r="N483" t="s">
        <v>36</v>
      </c>
    </row>
    <row r="484" spans="1:14" x14ac:dyDescent="0.3">
      <c r="A484" t="s">
        <v>1249</v>
      </c>
      <c r="B484" t="s">
        <v>1250</v>
      </c>
      <c r="C484">
        <v>9844922070</v>
      </c>
      <c r="D484" t="s">
        <v>1251</v>
      </c>
      <c r="E484" t="s">
        <v>14</v>
      </c>
      <c r="F484" t="s">
        <v>72</v>
      </c>
      <c r="G484" t="s">
        <v>16</v>
      </c>
      <c r="H484" s="1">
        <v>46133</v>
      </c>
      <c r="I484" s="1" t="str">
        <f>TEXT(Lead_Data[[#This Row],[Lead_Date]],"mmmm")</f>
        <v>April</v>
      </c>
      <c r="J484">
        <f ca="1">TODAY()-Lead_Data[[#This Row],[Lead_Date]]</f>
        <v>69</v>
      </c>
      <c r="K484" t="s">
        <v>24</v>
      </c>
      <c r="L484">
        <v>171027</v>
      </c>
      <c r="M484" t="str">
        <f>IF(Lead_Data[[#This Row],[Potential_Value]]&gt;100000,"High","Low")</f>
        <v>High</v>
      </c>
      <c r="N484" t="s">
        <v>50</v>
      </c>
    </row>
    <row r="485" spans="1:14" x14ac:dyDescent="0.3">
      <c r="A485" t="s">
        <v>1252</v>
      </c>
      <c r="B485" t="s">
        <v>1137</v>
      </c>
      <c r="C485">
        <v>9755867061</v>
      </c>
      <c r="D485" t="s">
        <v>1253</v>
      </c>
      <c r="E485" t="s">
        <v>208</v>
      </c>
      <c r="F485" t="s">
        <v>23</v>
      </c>
      <c r="G485" t="s">
        <v>93</v>
      </c>
      <c r="H485" s="1">
        <v>46088</v>
      </c>
      <c r="I485" s="1" t="str">
        <f>TEXT(Lead_Data[[#This Row],[Lead_Date]],"mmmm")</f>
        <v>March</v>
      </c>
      <c r="J485">
        <f ca="1">TODAY()-Lead_Data[[#This Row],[Lead_Date]]</f>
        <v>114</v>
      </c>
      <c r="K485" t="s">
        <v>35</v>
      </c>
      <c r="L485">
        <v>78031</v>
      </c>
      <c r="M485" t="str">
        <f>IF(Lead_Data[[#This Row],[Potential_Value]]&gt;100000,"High","Low")</f>
        <v>Low</v>
      </c>
      <c r="N485" t="s">
        <v>18</v>
      </c>
    </row>
    <row r="486" spans="1:14" x14ac:dyDescent="0.3">
      <c r="A486" t="s">
        <v>1254</v>
      </c>
      <c r="B486" t="s">
        <v>399</v>
      </c>
      <c r="C486">
        <v>9890243203</v>
      </c>
      <c r="D486" t="s">
        <v>1255</v>
      </c>
      <c r="E486" t="s">
        <v>76</v>
      </c>
      <c r="F486" t="s">
        <v>15</v>
      </c>
      <c r="G486" t="s">
        <v>30</v>
      </c>
      <c r="H486" s="1">
        <v>46040</v>
      </c>
      <c r="I486" s="1" t="str">
        <f>TEXT(Lead_Data[[#This Row],[Lead_Date]],"mmmm")</f>
        <v>January</v>
      </c>
      <c r="J486">
        <f ca="1">TODAY()-Lead_Data[[#This Row],[Lead_Date]]</f>
        <v>162</v>
      </c>
      <c r="K486" t="s">
        <v>17</v>
      </c>
      <c r="L486">
        <v>201259</v>
      </c>
      <c r="M486" t="str">
        <f>IF(Lead_Data[[#This Row],[Potential_Value]]&gt;100000,"High","Low")</f>
        <v>High</v>
      </c>
      <c r="N486" t="s">
        <v>36</v>
      </c>
    </row>
    <row r="487" spans="1:14" x14ac:dyDescent="0.3">
      <c r="A487" t="s">
        <v>1256</v>
      </c>
      <c r="B487" t="s">
        <v>140</v>
      </c>
      <c r="C487">
        <v>9619997000</v>
      </c>
      <c r="D487" t="s">
        <v>1257</v>
      </c>
      <c r="E487" t="s">
        <v>40</v>
      </c>
      <c r="F487" t="s">
        <v>23</v>
      </c>
      <c r="G487" t="s">
        <v>48</v>
      </c>
      <c r="H487" s="1">
        <v>46059</v>
      </c>
      <c r="I487" s="1" t="str">
        <f>TEXT(Lead_Data[[#This Row],[Lead_Date]],"mmmm")</f>
        <v>February</v>
      </c>
      <c r="J487">
        <f ca="1">TODAY()-Lead_Data[[#This Row],[Lead_Date]]</f>
        <v>143</v>
      </c>
      <c r="K487" t="s">
        <v>35</v>
      </c>
      <c r="L487">
        <v>143765</v>
      </c>
      <c r="M487" t="str">
        <f>IF(Lead_Data[[#This Row],[Potential_Value]]&gt;100000,"High","Low")</f>
        <v>High</v>
      </c>
      <c r="N487" t="s">
        <v>83</v>
      </c>
    </row>
    <row r="488" spans="1:14" x14ac:dyDescent="0.3">
      <c r="A488" t="s">
        <v>1258</v>
      </c>
      <c r="B488" t="s">
        <v>1259</v>
      </c>
      <c r="C488">
        <v>9844217283</v>
      </c>
      <c r="D488" t="s">
        <v>1260</v>
      </c>
      <c r="E488" t="s">
        <v>76</v>
      </c>
      <c r="F488" t="s">
        <v>29</v>
      </c>
      <c r="G488" t="s">
        <v>93</v>
      </c>
      <c r="H488" s="1">
        <v>46100</v>
      </c>
      <c r="I488" s="1" t="str">
        <f>TEXT(Lead_Data[[#This Row],[Lead_Date]],"mmmm")</f>
        <v>March</v>
      </c>
      <c r="J488">
        <f ca="1">TODAY()-Lead_Data[[#This Row],[Lead_Date]]</f>
        <v>102</v>
      </c>
      <c r="K488" t="s">
        <v>24</v>
      </c>
      <c r="L488">
        <v>200922</v>
      </c>
      <c r="M488" t="str">
        <f>IF(Lead_Data[[#This Row],[Potential_Value]]&gt;100000,"High","Low")</f>
        <v>High</v>
      </c>
      <c r="N488" t="s">
        <v>36</v>
      </c>
    </row>
    <row r="489" spans="1:14" x14ac:dyDescent="0.3">
      <c r="A489" t="s">
        <v>1261</v>
      </c>
      <c r="B489" t="s">
        <v>1262</v>
      </c>
      <c r="C489">
        <v>9714120116</v>
      </c>
      <c r="D489" t="s">
        <v>1263</v>
      </c>
      <c r="E489" t="s">
        <v>22</v>
      </c>
      <c r="F489" t="s">
        <v>23</v>
      </c>
      <c r="G489" t="s">
        <v>93</v>
      </c>
      <c r="H489" s="1">
        <v>46122</v>
      </c>
      <c r="I489" s="1" t="str">
        <f>TEXT(Lead_Data[[#This Row],[Lead_Date]],"mmmm")</f>
        <v>April</v>
      </c>
      <c r="J489">
        <f ca="1">TODAY()-Lead_Data[[#This Row],[Lead_Date]]</f>
        <v>80</v>
      </c>
      <c r="K489" t="s">
        <v>49</v>
      </c>
      <c r="L489">
        <v>185825</v>
      </c>
      <c r="M489" t="str">
        <f>IF(Lead_Data[[#This Row],[Potential_Value]]&gt;100000,"High","Low")</f>
        <v>High</v>
      </c>
      <c r="N489" t="s">
        <v>83</v>
      </c>
    </row>
    <row r="490" spans="1:14" x14ac:dyDescent="0.3">
      <c r="A490" t="s">
        <v>1264</v>
      </c>
      <c r="B490" t="s">
        <v>390</v>
      </c>
      <c r="C490">
        <v>9719750702</v>
      </c>
      <c r="D490" t="s">
        <v>1265</v>
      </c>
      <c r="E490" t="s">
        <v>59</v>
      </c>
      <c r="F490" t="s">
        <v>60</v>
      </c>
      <c r="G490" t="s">
        <v>16</v>
      </c>
      <c r="H490" s="1">
        <v>46045</v>
      </c>
      <c r="I490" s="1" t="str">
        <f>TEXT(Lead_Data[[#This Row],[Lead_Date]],"mmmm")</f>
        <v>January</v>
      </c>
      <c r="J490">
        <f ca="1">TODAY()-Lead_Data[[#This Row],[Lead_Date]]</f>
        <v>157</v>
      </c>
      <c r="K490" t="s">
        <v>49</v>
      </c>
      <c r="L490">
        <v>183334</v>
      </c>
      <c r="M490" t="str">
        <f>IF(Lead_Data[[#This Row],[Potential_Value]]&gt;100000,"High","Low")</f>
        <v>High</v>
      </c>
      <c r="N490" t="s">
        <v>83</v>
      </c>
    </row>
    <row r="491" spans="1:14" x14ac:dyDescent="0.3">
      <c r="A491" t="s">
        <v>1266</v>
      </c>
      <c r="B491" t="s">
        <v>195</v>
      </c>
      <c r="C491">
        <v>9523032850</v>
      </c>
      <c r="D491" t="s">
        <v>1267</v>
      </c>
      <c r="E491" t="s">
        <v>76</v>
      </c>
      <c r="F491" t="s">
        <v>15</v>
      </c>
      <c r="G491" t="s">
        <v>30</v>
      </c>
      <c r="H491" s="1">
        <v>46037</v>
      </c>
      <c r="I491" s="1" t="str">
        <f>TEXT(Lead_Data[[#This Row],[Lead_Date]],"mmmm")</f>
        <v>January</v>
      </c>
      <c r="J491">
        <f ca="1">TODAY()-Lead_Data[[#This Row],[Lead_Date]]</f>
        <v>165</v>
      </c>
      <c r="K491" t="s">
        <v>42</v>
      </c>
      <c r="L491">
        <v>163004</v>
      </c>
      <c r="M491" t="str">
        <f>IF(Lead_Data[[#This Row],[Potential_Value]]&gt;100000,"High","Low")</f>
        <v>High</v>
      </c>
      <c r="N491" t="s">
        <v>50</v>
      </c>
    </row>
    <row r="492" spans="1:14" x14ac:dyDescent="0.3">
      <c r="A492" t="s">
        <v>1268</v>
      </c>
      <c r="B492" t="s">
        <v>95</v>
      </c>
      <c r="C492">
        <v>9846014203</v>
      </c>
      <c r="D492" t="s">
        <v>1269</v>
      </c>
      <c r="E492" t="s">
        <v>65</v>
      </c>
      <c r="F492" t="s">
        <v>15</v>
      </c>
      <c r="G492" t="s">
        <v>16</v>
      </c>
      <c r="H492" s="1">
        <v>46056</v>
      </c>
      <c r="I492" s="1" t="str">
        <f>TEXT(Lead_Data[[#This Row],[Lead_Date]],"mmmm")</f>
        <v>February</v>
      </c>
      <c r="J492">
        <f ca="1">TODAY()-Lead_Data[[#This Row],[Lead_Date]]</f>
        <v>146</v>
      </c>
      <c r="K492" t="s">
        <v>35</v>
      </c>
      <c r="L492">
        <v>56223</v>
      </c>
      <c r="M492" t="str">
        <f>IF(Lead_Data[[#This Row],[Potential_Value]]&gt;100000,"High","Low")</f>
        <v>Low</v>
      </c>
      <c r="N492" t="s">
        <v>50</v>
      </c>
    </row>
    <row r="493" spans="1:14" x14ac:dyDescent="0.3">
      <c r="A493" t="s">
        <v>1270</v>
      </c>
      <c r="B493" t="s">
        <v>1098</v>
      </c>
      <c r="C493">
        <v>9659725303</v>
      </c>
      <c r="D493" t="s">
        <v>1271</v>
      </c>
      <c r="E493" t="s">
        <v>59</v>
      </c>
      <c r="F493" t="s">
        <v>47</v>
      </c>
      <c r="G493" t="s">
        <v>30</v>
      </c>
      <c r="H493" s="1">
        <v>46116</v>
      </c>
      <c r="I493" s="1" t="str">
        <f>TEXT(Lead_Data[[#This Row],[Lead_Date]],"mmmm")</f>
        <v>April</v>
      </c>
      <c r="J493">
        <f ca="1">TODAY()-Lead_Data[[#This Row],[Lead_Date]]</f>
        <v>86</v>
      </c>
      <c r="K493" t="s">
        <v>31</v>
      </c>
      <c r="L493">
        <v>248351</v>
      </c>
      <c r="M493" t="str">
        <f>IF(Lead_Data[[#This Row],[Potential_Value]]&gt;100000,"High","Low")</f>
        <v>High</v>
      </c>
      <c r="N493" t="s">
        <v>50</v>
      </c>
    </row>
    <row r="494" spans="1:14" x14ac:dyDescent="0.3">
      <c r="A494" t="s">
        <v>1272</v>
      </c>
      <c r="B494" t="s">
        <v>1137</v>
      </c>
      <c r="C494">
        <v>9840062286</v>
      </c>
      <c r="D494" t="s">
        <v>1273</v>
      </c>
      <c r="E494" t="s">
        <v>22</v>
      </c>
      <c r="F494" t="s">
        <v>72</v>
      </c>
      <c r="G494" t="s">
        <v>48</v>
      </c>
      <c r="H494" s="1">
        <v>46189</v>
      </c>
      <c r="I494" s="1" t="str">
        <f>TEXT(Lead_Data[[#This Row],[Lead_Date]],"mmmm")</f>
        <v>June</v>
      </c>
      <c r="J494">
        <f ca="1">TODAY()-Lead_Data[[#This Row],[Lead_Date]]</f>
        <v>13</v>
      </c>
      <c r="K494" t="s">
        <v>49</v>
      </c>
      <c r="L494">
        <v>73143</v>
      </c>
      <c r="M494" t="str">
        <f>IF(Lead_Data[[#This Row],[Potential_Value]]&gt;100000,"High","Low")</f>
        <v>Low</v>
      </c>
      <c r="N494" t="s">
        <v>55</v>
      </c>
    </row>
    <row r="495" spans="1:14" x14ac:dyDescent="0.3">
      <c r="A495" t="s">
        <v>1274</v>
      </c>
      <c r="B495" t="s">
        <v>550</v>
      </c>
      <c r="C495">
        <v>9823368899</v>
      </c>
      <c r="D495" t="s">
        <v>1275</v>
      </c>
      <c r="E495" t="s">
        <v>76</v>
      </c>
      <c r="F495" t="s">
        <v>60</v>
      </c>
      <c r="G495" t="s">
        <v>61</v>
      </c>
      <c r="H495" s="1">
        <v>46192</v>
      </c>
      <c r="I495" s="1" t="str">
        <f>TEXT(Lead_Data[[#This Row],[Lead_Date]],"mmmm")</f>
        <v>June</v>
      </c>
      <c r="J495">
        <f ca="1">TODAY()-Lead_Data[[#This Row],[Lead_Date]]</f>
        <v>10</v>
      </c>
      <c r="K495" t="s">
        <v>31</v>
      </c>
      <c r="L495">
        <v>83882</v>
      </c>
      <c r="M495" t="str">
        <f>IF(Lead_Data[[#This Row],[Potential_Value]]&gt;100000,"High","Low")</f>
        <v>Low</v>
      </c>
      <c r="N495" t="s">
        <v>36</v>
      </c>
    </row>
    <row r="496" spans="1:14" x14ac:dyDescent="0.3">
      <c r="A496" t="s">
        <v>1276</v>
      </c>
      <c r="B496" t="s">
        <v>434</v>
      </c>
      <c r="C496">
        <v>9824747895</v>
      </c>
      <c r="D496" t="s">
        <v>1277</v>
      </c>
      <c r="E496" t="s">
        <v>40</v>
      </c>
      <c r="F496" t="s">
        <v>41</v>
      </c>
      <c r="G496" t="s">
        <v>48</v>
      </c>
      <c r="H496" s="1">
        <v>46140</v>
      </c>
      <c r="I496" s="1" t="str">
        <f>TEXT(Lead_Data[[#This Row],[Lead_Date]],"mmmm")</f>
        <v>April</v>
      </c>
      <c r="J496">
        <f ca="1">TODAY()-Lead_Data[[#This Row],[Lead_Date]]</f>
        <v>62</v>
      </c>
      <c r="K496" t="s">
        <v>17</v>
      </c>
      <c r="L496">
        <v>116087</v>
      </c>
      <c r="M496" t="str">
        <f>IF(Lead_Data[[#This Row],[Potential_Value]]&gt;100000,"High","Low")</f>
        <v>High</v>
      </c>
      <c r="N496" t="s">
        <v>36</v>
      </c>
    </row>
    <row r="497" spans="1:14" x14ac:dyDescent="0.3">
      <c r="A497" t="s">
        <v>1278</v>
      </c>
      <c r="B497" t="s">
        <v>434</v>
      </c>
      <c r="C497">
        <v>9740970284</v>
      </c>
      <c r="D497" t="s">
        <v>1279</v>
      </c>
      <c r="E497" t="s">
        <v>46</v>
      </c>
      <c r="F497" t="s">
        <v>23</v>
      </c>
      <c r="G497" t="s">
        <v>30</v>
      </c>
      <c r="H497" s="1">
        <v>46132</v>
      </c>
      <c r="I497" s="1" t="str">
        <f>TEXT(Lead_Data[[#This Row],[Lead_Date]],"mmmm")</f>
        <v>April</v>
      </c>
      <c r="J497">
        <f ca="1">TODAY()-Lead_Data[[#This Row],[Lead_Date]]</f>
        <v>70</v>
      </c>
      <c r="K497" t="s">
        <v>31</v>
      </c>
      <c r="L497">
        <v>27800</v>
      </c>
      <c r="M497" t="str">
        <f>IF(Lead_Data[[#This Row],[Potential_Value]]&gt;100000,"High","Low")</f>
        <v>Low</v>
      </c>
      <c r="N497" t="s">
        <v>83</v>
      </c>
    </row>
    <row r="498" spans="1:14" x14ac:dyDescent="0.3">
      <c r="A498" t="s">
        <v>1280</v>
      </c>
      <c r="B498" t="s">
        <v>116</v>
      </c>
      <c r="C498">
        <v>9755439045</v>
      </c>
      <c r="D498" t="s">
        <v>1281</v>
      </c>
      <c r="E498" t="s">
        <v>208</v>
      </c>
      <c r="F498" t="s">
        <v>23</v>
      </c>
      <c r="G498" t="s">
        <v>16</v>
      </c>
      <c r="H498" s="1">
        <v>46165</v>
      </c>
      <c r="I498" s="1" t="str">
        <f>TEXT(Lead_Data[[#This Row],[Lead_Date]],"mmmm")</f>
        <v>May</v>
      </c>
      <c r="J498">
        <f ca="1">TODAY()-Lead_Data[[#This Row],[Lead_Date]]</f>
        <v>37</v>
      </c>
      <c r="K498" t="s">
        <v>31</v>
      </c>
      <c r="L498">
        <v>136868</v>
      </c>
      <c r="M498" t="str">
        <f>IF(Lead_Data[[#This Row],[Potential_Value]]&gt;100000,"High","Low")</f>
        <v>High</v>
      </c>
      <c r="N498" t="s">
        <v>50</v>
      </c>
    </row>
    <row r="499" spans="1:14" x14ac:dyDescent="0.3">
      <c r="A499" t="s">
        <v>1282</v>
      </c>
      <c r="B499" t="s">
        <v>38</v>
      </c>
      <c r="C499">
        <v>9524770326</v>
      </c>
      <c r="D499" t="s">
        <v>1283</v>
      </c>
      <c r="E499" t="s">
        <v>76</v>
      </c>
      <c r="F499" t="s">
        <v>47</v>
      </c>
      <c r="G499" t="s">
        <v>30</v>
      </c>
      <c r="H499" s="1">
        <v>46038</v>
      </c>
      <c r="I499" s="1" t="str">
        <f>TEXT(Lead_Data[[#This Row],[Lead_Date]],"mmmm")</f>
        <v>January</v>
      </c>
      <c r="J499">
        <f ca="1">TODAY()-Lead_Data[[#This Row],[Lead_Date]]</f>
        <v>164</v>
      </c>
      <c r="K499" t="s">
        <v>31</v>
      </c>
      <c r="L499">
        <v>146719</v>
      </c>
      <c r="M499" t="str">
        <f>IF(Lead_Data[[#This Row],[Potential_Value]]&gt;100000,"High","Low")</f>
        <v>High</v>
      </c>
      <c r="N499" t="s">
        <v>50</v>
      </c>
    </row>
    <row r="500" spans="1:14" x14ac:dyDescent="0.3">
      <c r="A500" t="s">
        <v>1284</v>
      </c>
      <c r="B500" t="s">
        <v>1285</v>
      </c>
      <c r="C500">
        <v>9723623063</v>
      </c>
      <c r="D500" t="s">
        <v>1286</v>
      </c>
      <c r="E500" t="s">
        <v>46</v>
      </c>
      <c r="F500" t="s">
        <v>15</v>
      </c>
      <c r="G500" t="s">
        <v>48</v>
      </c>
      <c r="H500" s="1">
        <v>46044</v>
      </c>
      <c r="I500" s="1" t="str">
        <f>TEXT(Lead_Data[[#This Row],[Lead_Date]],"mmmm")</f>
        <v>January</v>
      </c>
      <c r="J500">
        <f ca="1">TODAY()-Lead_Data[[#This Row],[Lead_Date]]</f>
        <v>158</v>
      </c>
      <c r="K500" t="s">
        <v>24</v>
      </c>
      <c r="L500">
        <v>215798</v>
      </c>
      <c r="M500" t="str">
        <f>IF(Lead_Data[[#This Row],[Potential_Value]]&gt;100000,"High","Low")</f>
        <v>High</v>
      </c>
      <c r="N500" t="s">
        <v>50</v>
      </c>
    </row>
    <row r="501" spans="1:14" x14ac:dyDescent="0.3">
      <c r="A501" t="s">
        <v>1287</v>
      </c>
      <c r="B501" t="s">
        <v>1016</v>
      </c>
      <c r="C501">
        <v>9623144125</v>
      </c>
      <c r="D501" t="s">
        <v>1288</v>
      </c>
      <c r="E501" t="s">
        <v>54</v>
      </c>
      <c r="F501" t="s">
        <v>41</v>
      </c>
      <c r="G501" t="s">
        <v>61</v>
      </c>
      <c r="H501" s="1">
        <v>46075</v>
      </c>
      <c r="I501" s="1" t="str">
        <f>TEXT(Lead_Data[[#This Row],[Lead_Date]],"mmmm")</f>
        <v>February</v>
      </c>
      <c r="J501">
        <f ca="1">TODAY()-Lead_Data[[#This Row],[Lead_Date]]</f>
        <v>127</v>
      </c>
      <c r="K501" t="s">
        <v>17</v>
      </c>
      <c r="L501">
        <v>41380</v>
      </c>
      <c r="M501" t="str">
        <f>IF(Lead_Data[[#This Row],[Potential_Value]]&gt;100000,"High","Low")</f>
        <v>Low</v>
      </c>
      <c r="N501"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A7DF2-990F-4C1B-863D-26952EE553E4}">
  <dimension ref="A3:L25"/>
  <sheetViews>
    <sheetView workbookViewId="0">
      <selection activeCell="A5" sqref="A5"/>
    </sheetView>
  </sheetViews>
  <sheetFormatPr defaultRowHeight="14.4" x14ac:dyDescent="0.3"/>
  <cols>
    <col min="1" max="1" width="10.33203125" bestFit="1" customWidth="1"/>
    <col min="2" max="2" width="12.44140625" bestFit="1" customWidth="1"/>
    <col min="3" max="3" width="10.33203125" bestFit="1" customWidth="1"/>
    <col min="6" max="6" width="20.21875" bestFit="1" customWidth="1"/>
    <col min="7" max="7" width="10.33203125" bestFit="1" customWidth="1"/>
    <col min="8" max="8" width="12.44140625" bestFit="1" customWidth="1"/>
    <col min="9" max="9" width="20.21875" bestFit="1" customWidth="1"/>
    <col min="10" max="10" width="14.77734375" bestFit="1" customWidth="1"/>
    <col min="12" max="12" width="17.33203125" bestFit="1" customWidth="1"/>
    <col min="13" max="13" width="14.44140625" bestFit="1" customWidth="1"/>
  </cols>
  <sheetData>
    <row r="3" spans="1:12" x14ac:dyDescent="0.3">
      <c r="A3" t="s">
        <v>1291</v>
      </c>
      <c r="B3" s="2" t="s">
        <v>1292</v>
      </c>
      <c r="C3" t="s">
        <v>1291</v>
      </c>
      <c r="F3" t="s">
        <v>1296</v>
      </c>
      <c r="H3" s="2" t="s">
        <v>1292</v>
      </c>
      <c r="I3" t="s">
        <v>1296</v>
      </c>
      <c r="L3" t="s">
        <v>1297</v>
      </c>
    </row>
    <row r="4" spans="1:12" x14ac:dyDescent="0.3">
      <c r="A4">
        <v>500</v>
      </c>
      <c r="B4" s="3" t="s">
        <v>31</v>
      </c>
      <c r="C4">
        <v>95</v>
      </c>
      <c r="F4" s="7">
        <v>64146990</v>
      </c>
      <c r="H4" s="3" t="s">
        <v>31</v>
      </c>
      <c r="I4">
        <v>12498768</v>
      </c>
      <c r="L4">
        <v>89.677999999999997</v>
      </c>
    </row>
    <row r="5" spans="1:12" x14ac:dyDescent="0.3">
      <c r="A5" s="4">
        <v>500</v>
      </c>
      <c r="B5" s="3" t="s">
        <v>42</v>
      </c>
      <c r="C5">
        <v>84</v>
      </c>
      <c r="H5" s="3" t="s">
        <v>42</v>
      </c>
      <c r="I5">
        <v>10993580</v>
      </c>
      <c r="L5" s="4">
        <f>GETPIVOTDATA("Lead Age",$L$3)</f>
        <v>89.677999999999997</v>
      </c>
    </row>
    <row r="6" spans="1:12" x14ac:dyDescent="0.3">
      <c r="B6" s="3" t="s">
        <v>24</v>
      </c>
      <c r="C6">
        <v>82</v>
      </c>
      <c r="F6" s="8">
        <v>64146990</v>
      </c>
      <c r="H6" s="3" t="s">
        <v>24</v>
      </c>
      <c r="I6">
        <v>10337041</v>
      </c>
    </row>
    <row r="7" spans="1:12" x14ac:dyDescent="0.3">
      <c r="B7" s="3" t="s">
        <v>35</v>
      </c>
      <c r="C7">
        <v>78</v>
      </c>
      <c r="H7" s="3" t="s">
        <v>35</v>
      </c>
      <c r="I7">
        <v>9163461</v>
      </c>
    </row>
    <row r="8" spans="1:12" x14ac:dyDescent="0.3">
      <c r="B8" s="3" t="s">
        <v>17</v>
      </c>
      <c r="C8">
        <v>78</v>
      </c>
      <c r="H8" s="3" t="s">
        <v>17</v>
      </c>
      <c r="I8">
        <v>9912354</v>
      </c>
      <c r="L8" s="4" t="s">
        <v>1298</v>
      </c>
    </row>
    <row r="9" spans="1:12" x14ac:dyDescent="0.3">
      <c r="B9" s="3" t="s">
        <v>49</v>
      </c>
      <c r="C9">
        <v>83</v>
      </c>
      <c r="H9" s="3" t="s">
        <v>49</v>
      </c>
      <c r="I9">
        <v>11241786</v>
      </c>
      <c r="L9" s="6">
        <f>GETPIVOTDATA("Count of Lead_ID",$H$15,"Status","Converted")/GETPIVOTDATA("Lead_ID",$A$3)/100</f>
        <v>1.6800000000000001E-3</v>
      </c>
    </row>
    <row r="10" spans="1:12" x14ac:dyDescent="0.3">
      <c r="B10" s="3" t="s">
        <v>1293</v>
      </c>
      <c r="C10">
        <v>500</v>
      </c>
      <c r="H10" s="3" t="s">
        <v>1293</v>
      </c>
      <c r="I10" s="7">
        <v>64146990</v>
      </c>
      <c r="L10" s="10">
        <f>L9</f>
        <v>1.6800000000000001E-3</v>
      </c>
    </row>
    <row r="12" spans="1:12" x14ac:dyDescent="0.3">
      <c r="H12" s="8">
        <f>GETPIVOTDATA("Potential_Value",$H$3,"Status","Converted")</f>
        <v>10993580</v>
      </c>
    </row>
    <row r="13" spans="1:12" x14ac:dyDescent="0.3">
      <c r="C13" s="5" t="s">
        <v>31</v>
      </c>
      <c r="D13" s="4">
        <v>95</v>
      </c>
    </row>
    <row r="14" spans="1:12" x14ac:dyDescent="0.3">
      <c r="C14" s="5" t="s">
        <v>42</v>
      </c>
      <c r="D14" s="4">
        <v>84</v>
      </c>
      <c r="H14" s="4"/>
    </row>
    <row r="15" spans="1:12" x14ac:dyDescent="0.3">
      <c r="C15" s="5" t="s">
        <v>24</v>
      </c>
      <c r="D15" s="4">
        <v>82</v>
      </c>
      <c r="H15" s="2" t="s">
        <v>1292</v>
      </c>
      <c r="I15" t="s">
        <v>1296</v>
      </c>
      <c r="J15" t="s">
        <v>1290</v>
      </c>
    </row>
    <row r="16" spans="1:12" x14ac:dyDescent="0.3">
      <c r="C16" s="5" t="s">
        <v>35</v>
      </c>
      <c r="D16" s="4">
        <v>78</v>
      </c>
      <c r="H16" s="3" t="s">
        <v>31</v>
      </c>
      <c r="I16" s="7">
        <v>12498768</v>
      </c>
      <c r="J16">
        <v>95</v>
      </c>
    </row>
    <row r="17" spans="3:10" x14ac:dyDescent="0.3">
      <c r="C17" s="5" t="s">
        <v>17</v>
      </c>
      <c r="D17" s="4">
        <v>78</v>
      </c>
      <c r="H17" s="3" t="s">
        <v>42</v>
      </c>
      <c r="I17" s="7">
        <v>10993580</v>
      </c>
      <c r="J17">
        <v>84</v>
      </c>
    </row>
    <row r="18" spans="3:10" x14ac:dyDescent="0.3">
      <c r="C18" s="5" t="s">
        <v>49</v>
      </c>
      <c r="D18" s="4">
        <v>83</v>
      </c>
      <c r="H18" s="3" t="s">
        <v>24</v>
      </c>
      <c r="I18" s="7">
        <v>10337041</v>
      </c>
      <c r="J18">
        <v>82</v>
      </c>
    </row>
    <row r="19" spans="3:10" x14ac:dyDescent="0.3">
      <c r="H19" s="3" t="s">
        <v>35</v>
      </c>
      <c r="I19" s="7">
        <v>9163461</v>
      </c>
      <c r="J19">
        <v>78</v>
      </c>
    </row>
    <row r="20" spans="3:10" x14ac:dyDescent="0.3">
      <c r="H20" s="3" t="s">
        <v>17</v>
      </c>
      <c r="I20" s="7">
        <v>9912354</v>
      </c>
      <c r="J20">
        <v>78</v>
      </c>
    </row>
    <row r="21" spans="3:10" x14ac:dyDescent="0.3">
      <c r="H21" s="3" t="s">
        <v>49</v>
      </c>
      <c r="I21" s="7">
        <v>11241786</v>
      </c>
      <c r="J21">
        <v>83</v>
      </c>
    </row>
    <row r="22" spans="3:10" x14ac:dyDescent="0.3">
      <c r="H22" s="3" t="s">
        <v>1293</v>
      </c>
      <c r="I22" s="7">
        <v>64146990</v>
      </c>
      <c r="J22" s="7">
        <v>500</v>
      </c>
    </row>
    <row r="25" spans="3:10" x14ac:dyDescent="0.3">
      <c r="H25" s="9">
        <f>GETPIVOTDATA("Sum of Potential_Value",$H$15,"Status","Converted")/GETPIVOTDATA("Count of Lead_ID",$H$15,"Status","Converted")</f>
        <v>130875.95238095238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E8F53-C1A7-4411-B0D9-B9D263F77DCA}">
  <dimension ref="A1:B68"/>
  <sheetViews>
    <sheetView topLeftCell="A49" workbookViewId="0">
      <selection activeCell="Q70" sqref="Q70"/>
    </sheetView>
  </sheetViews>
  <sheetFormatPr defaultRowHeight="14.4" x14ac:dyDescent="0.3"/>
  <cols>
    <col min="1" max="1" width="12.44140625" bestFit="1" customWidth="1"/>
    <col min="2" max="2" width="14.77734375" bestFit="1" customWidth="1"/>
  </cols>
  <sheetData>
    <row r="1" spans="1:2" x14ac:dyDescent="0.3">
      <c r="A1" s="2" t="s">
        <v>1292</v>
      </c>
      <c r="B1" t="s">
        <v>1299</v>
      </c>
    </row>
    <row r="2" spans="1:2" x14ac:dyDescent="0.3">
      <c r="A2" s="3" t="s">
        <v>72</v>
      </c>
      <c r="B2">
        <v>74</v>
      </c>
    </row>
    <row r="3" spans="1:2" x14ac:dyDescent="0.3">
      <c r="A3" s="3" t="s">
        <v>41</v>
      </c>
      <c r="B3">
        <v>71</v>
      </c>
    </row>
    <row r="4" spans="1:2" x14ac:dyDescent="0.3">
      <c r="A4" s="3" t="s">
        <v>15</v>
      </c>
      <c r="B4">
        <v>68</v>
      </c>
    </row>
    <row r="5" spans="1:2" x14ac:dyDescent="0.3">
      <c r="A5" s="3" t="s">
        <v>60</v>
      </c>
      <c r="B5">
        <v>65</v>
      </c>
    </row>
    <row r="6" spans="1:2" x14ac:dyDescent="0.3">
      <c r="A6" s="3" t="s">
        <v>29</v>
      </c>
      <c r="B6">
        <v>78</v>
      </c>
    </row>
    <row r="7" spans="1:2" x14ac:dyDescent="0.3">
      <c r="A7" s="3" t="s">
        <v>47</v>
      </c>
      <c r="B7">
        <v>67</v>
      </c>
    </row>
    <row r="8" spans="1:2" x14ac:dyDescent="0.3">
      <c r="A8" s="3" t="s">
        <v>23</v>
      </c>
      <c r="B8">
        <v>77</v>
      </c>
    </row>
    <row r="9" spans="1:2" x14ac:dyDescent="0.3">
      <c r="A9" s="3" t="s">
        <v>1293</v>
      </c>
      <c r="B9">
        <v>500</v>
      </c>
    </row>
    <row r="12" spans="1:2" x14ac:dyDescent="0.3">
      <c r="A12" s="2" t="s">
        <v>1292</v>
      </c>
      <c r="B12" t="s">
        <v>1300</v>
      </c>
    </row>
    <row r="13" spans="1:2" x14ac:dyDescent="0.3">
      <c r="A13" s="3" t="s">
        <v>31</v>
      </c>
      <c r="B13" s="6">
        <v>0.19</v>
      </c>
    </row>
    <row r="14" spans="1:2" x14ac:dyDescent="0.3">
      <c r="A14" s="3" t="s">
        <v>42</v>
      </c>
      <c r="B14" s="6">
        <v>0.16800000000000001</v>
      </c>
    </row>
    <row r="15" spans="1:2" x14ac:dyDescent="0.3">
      <c r="A15" s="3" t="s">
        <v>24</v>
      </c>
      <c r="B15" s="6">
        <v>0.16400000000000001</v>
      </c>
    </row>
    <row r="16" spans="1:2" x14ac:dyDescent="0.3">
      <c r="A16" s="3" t="s">
        <v>35</v>
      </c>
      <c r="B16" s="6">
        <v>0.156</v>
      </c>
    </row>
    <row r="17" spans="1:2" x14ac:dyDescent="0.3">
      <c r="A17" s="3" t="s">
        <v>17</v>
      </c>
      <c r="B17" s="6">
        <v>0.156</v>
      </c>
    </row>
    <row r="18" spans="1:2" x14ac:dyDescent="0.3">
      <c r="A18" s="3" t="s">
        <v>49</v>
      </c>
      <c r="B18" s="6">
        <v>0.16600000000000001</v>
      </c>
    </row>
    <row r="19" spans="1:2" x14ac:dyDescent="0.3">
      <c r="A19" s="3" t="s">
        <v>1293</v>
      </c>
      <c r="B19" s="6">
        <v>1</v>
      </c>
    </row>
    <row r="24" spans="1:2" x14ac:dyDescent="0.3">
      <c r="A24" s="2" t="s">
        <v>1292</v>
      </c>
      <c r="B24" t="s">
        <v>1290</v>
      </c>
    </row>
    <row r="25" spans="1:2" x14ac:dyDescent="0.3">
      <c r="A25" s="3" t="s">
        <v>1301</v>
      </c>
      <c r="B25">
        <v>87</v>
      </c>
    </row>
    <row r="26" spans="1:2" x14ac:dyDescent="0.3">
      <c r="A26" s="3" t="s">
        <v>1302</v>
      </c>
      <c r="B26">
        <v>76</v>
      </c>
    </row>
    <row r="27" spans="1:2" x14ac:dyDescent="0.3">
      <c r="A27" s="3" t="s">
        <v>1303</v>
      </c>
      <c r="B27">
        <v>79</v>
      </c>
    </row>
    <row r="28" spans="1:2" x14ac:dyDescent="0.3">
      <c r="A28" s="3" t="s">
        <v>1304</v>
      </c>
      <c r="B28">
        <v>92</v>
      </c>
    </row>
    <row r="29" spans="1:2" x14ac:dyDescent="0.3">
      <c r="A29" s="3" t="s">
        <v>1305</v>
      </c>
      <c r="B29">
        <v>92</v>
      </c>
    </row>
    <row r="30" spans="1:2" x14ac:dyDescent="0.3">
      <c r="A30" s="3" t="s">
        <v>1306</v>
      </c>
      <c r="B30">
        <v>74</v>
      </c>
    </row>
    <row r="31" spans="1:2" x14ac:dyDescent="0.3">
      <c r="A31" s="3" t="s">
        <v>1293</v>
      </c>
      <c r="B31">
        <v>500</v>
      </c>
    </row>
    <row r="36" spans="1:2" x14ac:dyDescent="0.3">
      <c r="A36" s="2" t="s">
        <v>1292</v>
      </c>
      <c r="B36" t="s">
        <v>1290</v>
      </c>
    </row>
    <row r="37" spans="1:2" x14ac:dyDescent="0.3">
      <c r="A37" s="3" t="s">
        <v>40</v>
      </c>
      <c r="B37">
        <v>40</v>
      </c>
    </row>
    <row r="38" spans="1:2" x14ac:dyDescent="0.3">
      <c r="A38" s="3" t="s">
        <v>54</v>
      </c>
      <c r="B38">
        <v>53</v>
      </c>
    </row>
    <row r="39" spans="1:2" x14ac:dyDescent="0.3">
      <c r="A39" s="3" t="s">
        <v>76</v>
      </c>
      <c r="B39">
        <v>53</v>
      </c>
    </row>
    <row r="40" spans="1:2" x14ac:dyDescent="0.3">
      <c r="A40" s="3" t="s">
        <v>22</v>
      </c>
      <c r="B40">
        <v>62</v>
      </c>
    </row>
    <row r="41" spans="1:2" x14ac:dyDescent="0.3">
      <c r="A41" s="3" t="s">
        <v>65</v>
      </c>
      <c r="B41">
        <v>56</v>
      </c>
    </row>
    <row r="42" spans="1:2" x14ac:dyDescent="0.3">
      <c r="A42" s="3" t="s">
        <v>46</v>
      </c>
      <c r="B42">
        <v>44</v>
      </c>
    </row>
    <row r="43" spans="1:2" x14ac:dyDescent="0.3">
      <c r="A43" s="3" t="s">
        <v>28</v>
      </c>
      <c r="B43">
        <v>43</v>
      </c>
    </row>
    <row r="44" spans="1:2" x14ac:dyDescent="0.3">
      <c r="A44" s="3" t="s">
        <v>59</v>
      </c>
      <c r="B44">
        <v>46</v>
      </c>
    </row>
    <row r="45" spans="1:2" x14ac:dyDescent="0.3">
      <c r="A45" s="3" t="s">
        <v>208</v>
      </c>
      <c r="B45">
        <v>56</v>
      </c>
    </row>
    <row r="46" spans="1:2" x14ac:dyDescent="0.3">
      <c r="A46" s="3" t="s">
        <v>14</v>
      </c>
      <c r="B46">
        <v>47</v>
      </c>
    </row>
    <row r="47" spans="1:2" x14ac:dyDescent="0.3">
      <c r="A47" s="3" t="s">
        <v>1293</v>
      </c>
      <c r="B47">
        <v>500</v>
      </c>
    </row>
    <row r="50" spans="1:2" x14ac:dyDescent="0.3">
      <c r="A50" s="2" t="s">
        <v>1292</v>
      </c>
      <c r="B50" t="s">
        <v>1290</v>
      </c>
    </row>
    <row r="51" spans="1:2" x14ac:dyDescent="0.3">
      <c r="A51" s="3" t="s">
        <v>93</v>
      </c>
      <c r="B51">
        <v>90</v>
      </c>
    </row>
    <row r="52" spans="1:2" x14ac:dyDescent="0.3">
      <c r="A52" s="3" t="s">
        <v>30</v>
      </c>
      <c r="B52">
        <v>113</v>
      </c>
    </row>
    <row r="53" spans="1:2" x14ac:dyDescent="0.3">
      <c r="A53" s="3" t="s">
        <v>61</v>
      </c>
      <c r="B53">
        <v>101</v>
      </c>
    </row>
    <row r="54" spans="1:2" x14ac:dyDescent="0.3">
      <c r="A54" s="3" t="s">
        <v>48</v>
      </c>
      <c r="B54">
        <v>96</v>
      </c>
    </row>
    <row r="55" spans="1:2" x14ac:dyDescent="0.3">
      <c r="A55" s="3" t="s">
        <v>16</v>
      </c>
      <c r="B55">
        <v>100</v>
      </c>
    </row>
    <row r="56" spans="1:2" x14ac:dyDescent="0.3">
      <c r="A56" s="3" t="s">
        <v>1293</v>
      </c>
      <c r="B56">
        <v>500</v>
      </c>
    </row>
    <row r="62" spans="1:2" x14ac:dyDescent="0.3">
      <c r="A62" s="2" t="s">
        <v>1292</v>
      </c>
      <c r="B62" t="s">
        <v>1296</v>
      </c>
    </row>
    <row r="63" spans="1:2" x14ac:dyDescent="0.3">
      <c r="A63" s="3" t="s">
        <v>93</v>
      </c>
      <c r="B63" s="7">
        <v>12253240</v>
      </c>
    </row>
    <row r="64" spans="1:2" x14ac:dyDescent="0.3">
      <c r="A64" s="3" t="s">
        <v>30</v>
      </c>
      <c r="B64" s="7">
        <v>14134761</v>
      </c>
    </row>
    <row r="65" spans="1:2" x14ac:dyDescent="0.3">
      <c r="A65" s="3" t="s">
        <v>61</v>
      </c>
      <c r="B65" s="7">
        <v>13017769</v>
      </c>
    </row>
    <row r="66" spans="1:2" x14ac:dyDescent="0.3">
      <c r="A66" s="3" t="s">
        <v>48</v>
      </c>
      <c r="B66" s="7">
        <v>12909442</v>
      </c>
    </row>
    <row r="67" spans="1:2" x14ac:dyDescent="0.3">
      <c r="A67" s="3" t="s">
        <v>16</v>
      </c>
      <c r="B67" s="7">
        <v>11831778</v>
      </c>
    </row>
    <row r="68" spans="1:2" x14ac:dyDescent="0.3">
      <c r="A68" s="3" t="s">
        <v>1293</v>
      </c>
      <c r="B68">
        <v>64146990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5BCDB-EFE1-495D-B17C-5930F21EBCF3}">
  <dimension ref="A1"/>
  <sheetViews>
    <sheetView showGridLines="0" tabSelected="1" topLeftCell="A13" workbookViewId="0">
      <selection activeCell="A27" sqref="A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BDA_Lead_Report_500_Realistic_2</vt:lpstr>
      <vt:lpstr>KPI_Sheet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t26727</cp:lastModifiedBy>
  <dcterms:created xsi:type="dcterms:W3CDTF">2026-06-27T06:07:04Z</dcterms:created>
  <dcterms:modified xsi:type="dcterms:W3CDTF">2026-06-29T16:13:44Z</dcterms:modified>
</cp:coreProperties>
</file>